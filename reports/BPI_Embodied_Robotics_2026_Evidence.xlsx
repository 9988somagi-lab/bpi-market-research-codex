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来源登记" sheetId="2" state="visible" r:id="rId2"/>
    <sheet xmlns:r="http://schemas.openxmlformats.org/officeDocument/2006/relationships" name="市场指标缺口" sheetId="3" state="visible" r:id="rId3"/>
    <sheet xmlns:r="http://schemas.openxmlformats.org/officeDocument/2006/relationships" name="电池规格" sheetId="4" state="visible" r:id="rId4"/>
    <sheet xmlns:r="http://schemas.openxmlformats.org/officeDocument/2006/relationships" name="贸易待核验" sheetId="5" state="visible" r:id="rId5"/>
    <sheet xmlns:r="http://schemas.openxmlformats.org/officeDocument/2006/relationships" name="收入示例_非预测" sheetId="6" state="visible" r:id="rId6"/>
    <sheet xmlns:r="http://schemas.openxmlformats.org/officeDocument/2006/relationships" name="工程示例_非实测" sheetId="7" state="visible" r:id="rId7"/>
    <sheet xmlns:r="http://schemas.openxmlformats.org/officeDocument/2006/relationships" name="客户资格模板" sheetId="8" state="visible" r:id="rId8"/>
    <sheet xmlns:r="http://schemas.openxmlformats.org/officeDocument/2006/relationships" name="行动计划" sheetId="9" state="visible" r:id="rId9"/>
  </sheets>
  <definedNames>
    <definedName name="_xlnm._FilterDatabase" localSheetId="0" hidden="1">'使用说明'!$A$1:$B$9</definedName>
    <definedName name="_xlnm._FilterDatabase" localSheetId="1" hidden="1">'来源登记'!$A$1:$H$11</definedName>
    <definedName name="_xlnm._FilterDatabase" localSheetId="2" hidden="1">'市场指标缺口'!$A$1:$E$7</definedName>
    <definedName name="_xlnm._FilterDatabase" localSheetId="3" hidden="1">'电池规格'!$A$1:$G$8</definedName>
    <definedName name="_xlnm._FilterDatabase" localSheetId="4" hidden="1">'贸易待核验'!$A$1:$K$49</definedName>
    <definedName name="_xlnm._FilterDatabase" localSheetId="5" hidden="1">'收入示例_非预测'!$A$1:$C$8</definedName>
    <definedName name="_xlnm._FilterDatabase" localSheetId="6" hidden="1">'工程示例_非实测'!$A$1:$C$8</definedName>
    <definedName name="_xlnm._FilterDatabase" localSheetId="7" hidden="1">'客户资格模板'!$A$1:$O$21</definedName>
    <definedName name="_xlnm._FilterDatabase" localSheetId="8" hidden="1">'行动计划'!$A$1:$D$4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JP"/>
      <b val="1"/>
      <color rgb="00FFFFFF"/>
    </font>
    <font>
      <name val="Noto Sans CJK JP"/>
      <sz val="10"/>
    </font>
  </fonts>
  <fills count="4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D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9" fontId="2" fillId="3" borderId="0" applyAlignment="1" pivotButton="0" quotePrefix="0" xfId="0">
      <alignment vertical="top" wrapText="1"/>
    </xf>
    <xf numFmtId="4" fontId="2" fillId="3" borderId="0" applyAlignment="1" pivotButton="0" quotePrefix="0" xfId="0">
      <alignment vertical="top" wrapText="1"/>
    </xf>
    <xf numFmtId="9" fontId="2" fillId="0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  <xf numFmtId="2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.8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版本</t>
        </is>
      </c>
      <c r="B2" s="2" t="inlineStr">
        <is>
          <t>2026-10-13 北京时间；战略审议版，定量数据待核验</t>
        </is>
      </c>
    </row>
    <row r="3">
      <c r="A3" s="3" t="inlineStr">
        <is>
          <t>边界</t>
        </is>
      </c>
      <c r="B3" s="3" t="inlineStr">
        <is>
          <t>市场规模/增长、实际出货和贸易值尚未核验，不得作为已验证投资数据</t>
        </is>
      </c>
    </row>
    <row r="4">
      <c r="A4" s="2" t="inlineStr">
        <is>
          <t>事实</t>
        </is>
      </c>
      <c r="B4" s="2" t="inlineStr">
        <is>
          <t>来源表 S01–S08 为一手技术/研发；S09–S10 为二手分类数据</t>
        </is>
      </c>
    </row>
    <row r="5">
      <c r="A5" s="3" t="inlineStr">
        <is>
          <t>假设</t>
        </is>
      </c>
      <c r="B5" s="3" t="inlineStr">
        <is>
          <t>电池区间、模型输入、账户筛选与行动 KPI 为建议，不是市场事实</t>
        </is>
      </c>
    </row>
    <row r="6">
      <c r="A6" s="2" t="inlineStr">
        <is>
          <t>公式</t>
        </is>
      </c>
      <c r="B6" s="2" t="inlineStr">
        <is>
          <t>公式单元格由 Excel 等软件打开后计算；公式结构与独立 Python 算术已核对</t>
        </is>
      </c>
    </row>
    <row r="7">
      <c r="A7" s="3" t="inlineStr">
        <is>
          <t>数据缺失</t>
        </is>
      </c>
      <c r="B7" s="3" t="inlineStr">
        <is>
          <t>待核验不是零，空值不能作为没有贸易或没有需求的证据</t>
        </is>
      </c>
    </row>
    <row r="8">
      <c r="A8" s="2" t="inlineStr">
        <is>
          <t>来源文件</t>
        </is>
      </c>
      <c r="B8" s="2" t="inlineStr">
        <is>
          <t>同目录 sources/ 与 source_register.json 保存原文及版本/哈希</t>
        </is>
      </c>
    </row>
    <row r="9">
      <c r="A9" s="3" t="inlineStr">
        <is>
          <t>后续</t>
        </is>
      </c>
      <c r="B9" s="3" t="inlineStr">
        <is>
          <t>环境设置保存来源域名后，补齐 IFR、厂商官网和贸易数据库原文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.4" customWidth="1" min="2" max="2"/>
    <col width="18" customWidth="1" min="3" max="3"/>
    <col width="18" customWidth="1" min="4" max="4"/>
    <col width="18" customWidth="1" min="5" max="5"/>
    <col width="65" customWidth="1" min="6" max="6"/>
    <col width="32" customWidth="1" min="7" max="7"/>
    <col width="51.2" customWidth="1" min="8" max="8"/>
  </cols>
  <sheetData>
    <row r="1">
      <c r="A1" s="1" t="inlineStr">
        <is>
          <t>编号</t>
        </is>
      </c>
      <c r="B1" s="1" t="inlineStr">
        <is>
          <t>来源</t>
        </is>
      </c>
      <c r="C1" s="1" t="inlineStr">
        <is>
          <t>类别</t>
        </is>
      </c>
      <c r="D1" s="1" t="inlineStr">
        <is>
          <t>读取状态</t>
        </is>
      </c>
      <c r="E1" s="1" t="inlineStr">
        <is>
          <t>读取日期</t>
        </is>
      </c>
      <c r="F1" s="1" t="inlineStr">
        <is>
          <t>固定版本URL</t>
        </is>
      </c>
      <c r="G1" s="1" t="inlineStr">
        <is>
          <t>提交SHA</t>
        </is>
      </c>
      <c r="H1" s="1" t="inlineStr">
        <is>
          <t>原文SHA256</t>
        </is>
      </c>
    </row>
    <row r="2">
      <c r="A2" s="2" t="inlineStr">
        <is>
          <t>S01</t>
        </is>
      </c>
      <c r="B2" s="2" t="inlineStr">
        <is>
          <t>Boston Dynamics Spot 电气接口</t>
        </is>
      </c>
      <c r="C2" s="2" t="inlineStr">
        <is>
          <t>一手技术/研发资料</t>
        </is>
      </c>
      <c r="D2" s="2" t="inlineStr">
        <is>
          <t>已在线读取</t>
        </is>
      </c>
      <c r="E2" s="2" t="inlineStr">
        <is>
          <t>2026-10-13（北京时间）</t>
        </is>
      </c>
      <c r="F2" s="2" t="inlineStr">
        <is>
          <t>https://raw.githubusercontent.com/boston-dynamics/spot-sdk/04537ddafe0641d1751af3eb9e76cb785fc18594/docs/payload/robot_electrical_interface.md</t>
        </is>
      </c>
      <c r="G2" s="2" t="inlineStr">
        <is>
          <t>04537ddafe0641d1751af3eb9e76cb785fc18594</t>
        </is>
      </c>
      <c r="H2" s="2" t="inlineStr">
        <is>
          <t>491fbf52bfcaa796a533b6bd713b1992f33363db1593d6a1920316088d8c35aa</t>
        </is>
      </c>
    </row>
    <row r="3">
      <c r="A3" s="3" t="inlineStr">
        <is>
          <t>S02</t>
        </is>
      </c>
      <c r="B3" s="3" t="inlineStr">
        <is>
          <t>Boston Dynamics Spot 电池状态协议</t>
        </is>
      </c>
      <c r="C3" s="3" t="inlineStr">
        <is>
          <t>一手技术/研发资料</t>
        </is>
      </c>
      <c r="D3" s="3" t="inlineStr">
        <is>
          <t>已在线读取</t>
        </is>
      </c>
      <c r="E3" s="3" t="inlineStr">
        <is>
          <t>2026-10-13（北京时间）</t>
        </is>
      </c>
      <c r="F3" s="3" t="inlineStr">
        <is>
          <t>https://raw.githubusercontent.com/boston-dynamics/spot-sdk/04537ddafe0641d1751af3eb9e76cb785fc18594/protos/bosdyn/api/robot_state.proto</t>
        </is>
      </c>
      <c r="G3" s="3" t="inlineStr">
        <is>
          <t>04537ddafe0641d1751af3eb9e76cb785fc18594</t>
        </is>
      </c>
      <c r="H3" s="3" t="inlineStr">
        <is>
          <t>678766f6928b568cc7857b328bb32319a866feed10b3ea74954107fd3b2840c3</t>
        </is>
      </c>
    </row>
    <row r="4">
      <c r="A4" s="2" t="inlineStr">
        <is>
          <t>S03</t>
        </is>
      </c>
      <c r="B4" s="2" t="inlineStr">
        <is>
          <t>Unitree ROS2 平台支持</t>
        </is>
      </c>
      <c r="C4" s="2" t="inlineStr">
        <is>
          <t>一手技术/研发资料</t>
        </is>
      </c>
      <c r="D4" s="2" t="inlineStr">
        <is>
          <t>已在线读取</t>
        </is>
      </c>
      <c r="E4" s="2" t="inlineStr">
        <is>
          <t>2026-10-13（北京时间）</t>
        </is>
      </c>
      <c r="F4" s="2" t="inlineStr">
        <is>
          <t>https://raw.githubusercontent.com/unitreerobotics/unitree_ros2/668d1ec5a05d1c38d3306bdca7d59f2ba3581a88/README.md</t>
        </is>
      </c>
      <c r="G4" s="2" t="inlineStr">
        <is>
          <t>668d1ec5a05d1c38d3306bdca7d59f2ba3581a88</t>
        </is>
      </c>
      <c r="H4" s="2" t="inlineStr">
        <is>
          <t>975d8a29d4904dc6d3d0f72fd9119afed57b0b193a7a2d26d5211bc6b8858831</t>
        </is>
      </c>
    </row>
    <row r="5">
      <c r="A5" s="3" t="inlineStr">
        <is>
          <t>S04</t>
        </is>
      </c>
      <c r="B5" s="3" t="inlineStr">
        <is>
          <t>Unitree BMS 状态消息</t>
        </is>
      </c>
      <c r="C5" s="3" t="inlineStr">
        <is>
          <t>一手技术/研发资料</t>
        </is>
      </c>
      <c r="D5" s="3" t="inlineStr">
        <is>
          <t>已在线读取</t>
        </is>
      </c>
      <c r="E5" s="3" t="inlineStr">
        <is>
          <t>2026-10-13（北京时间）</t>
        </is>
      </c>
      <c r="F5" s="3" t="inlineStr">
        <is>
          <t>https://raw.githubusercontent.com/unitreerobotics/unitree_ros2/668d1ec5a05d1c38d3306bdca7d59f2ba3581a88/cyclonedds_ws/src/unitree/unitree_go/msg/BmsState.msg</t>
        </is>
      </c>
      <c r="G5" s="3" t="inlineStr">
        <is>
          <t>668d1ec5a05d1c38d3306bdca7d59f2ba3581a88</t>
        </is>
      </c>
      <c r="H5" s="3" t="inlineStr">
        <is>
          <t>0f7ad8e09f8fd02999da9aa222ab0ecb848d9f70136af78a5ec7a10631959828</t>
        </is>
      </c>
    </row>
    <row r="6">
      <c r="A6" s="2" t="inlineStr">
        <is>
          <t>S05</t>
        </is>
      </c>
      <c r="B6" s="2" t="inlineStr">
        <is>
          <t>Physical Intelligence openpi</t>
        </is>
      </c>
      <c r="C6" s="2" t="inlineStr">
        <is>
          <t>一手技术/研发资料</t>
        </is>
      </c>
      <c r="D6" s="2" t="inlineStr">
        <is>
          <t>已在线读取</t>
        </is>
      </c>
      <c r="E6" s="2" t="inlineStr">
        <is>
          <t>2026-10-13（北京时间）</t>
        </is>
      </c>
      <c r="F6" s="2" t="inlineStr">
        <is>
          <t>https://raw.githubusercontent.com/Physical-Intelligence/openpi/215abfb217dbac7d5f1273282331b9b1866c0479/README.md</t>
        </is>
      </c>
      <c r="G6" s="2" t="inlineStr">
        <is>
          <t>215abfb217dbac7d5f1273282331b9b1866c0479</t>
        </is>
      </c>
      <c r="H6" s="2" t="inlineStr">
        <is>
          <t>567fc57766bd736664f50126cab8145af4071ca16cc5e238f2b11e369169c3b5</t>
        </is>
      </c>
    </row>
    <row r="7">
      <c r="A7" s="3" t="inlineStr">
        <is>
          <t>S06</t>
        </is>
      </c>
      <c r="B7" s="3" t="inlineStr">
        <is>
          <t>Google DeepMind Open X-Embodiment</t>
        </is>
      </c>
      <c r="C7" s="3" t="inlineStr">
        <is>
          <t>一手技术/研发资料</t>
        </is>
      </c>
      <c r="D7" s="3" t="inlineStr">
        <is>
          <t>已在线读取</t>
        </is>
      </c>
      <c r="E7" s="3" t="inlineStr">
        <is>
          <t>2026-10-13（北京时间）</t>
        </is>
      </c>
      <c r="F7" s="3" t="inlineStr">
        <is>
          <t>https://raw.githubusercontent.com/google-deepmind/open_x_embodiment/9eeb68b989efbcf474e8fb9019e01d02b962a604/README.md</t>
        </is>
      </c>
      <c r="G7" s="3" t="inlineStr">
        <is>
          <t>9eeb68b989efbcf474e8fb9019e01d02b962a604</t>
        </is>
      </c>
      <c r="H7" s="3" t="inlineStr">
        <is>
          <t>e7dbf6bb04559e981b7eab2e0f4510579bf82b09948a0fe6471ba1794f86ae59</t>
        </is>
      </c>
    </row>
    <row r="8">
      <c r="A8" s="2" t="inlineStr">
        <is>
          <t>S07</t>
        </is>
      </c>
      <c r="B8" s="2" t="inlineStr">
        <is>
          <t>Universal Robots ROS2 Driver</t>
        </is>
      </c>
      <c r="C8" s="2" t="inlineStr">
        <is>
          <t>一手技术/研发资料</t>
        </is>
      </c>
      <c r="D8" s="2" t="inlineStr">
        <is>
          <t>已在线读取</t>
        </is>
      </c>
      <c r="E8" s="2" t="inlineStr">
        <is>
          <t>2026-10-13（北京时间）</t>
        </is>
      </c>
      <c r="F8" s="2" t="inlineStr">
        <is>
          <t>https://raw.githubusercontent.com/UniversalRobots/Universal_Robots_ROS2_Driver/7e031424bc7a3e590d65fe297214ac21e1f9ffdd/README.md</t>
        </is>
      </c>
      <c r="G8" s="2" t="inlineStr">
        <is>
          <t>7e031424bc7a3e590d65fe297214ac21e1f9ffdd</t>
        </is>
      </c>
      <c r="H8" s="2" t="inlineStr">
        <is>
          <t>d98964230fa189502feeb400891ca543c2ef597949ed30814f6a26015a37c7c9</t>
        </is>
      </c>
    </row>
    <row r="9">
      <c r="A9" s="3" t="inlineStr">
        <is>
          <t>S08</t>
        </is>
      </c>
      <c r="B9" s="3" t="inlineStr">
        <is>
          <t>Husarion UGV 电池监测</t>
        </is>
      </c>
      <c r="C9" s="3" t="inlineStr">
        <is>
          <t>一手技术/研发资料</t>
        </is>
      </c>
      <c r="D9" s="3" t="inlineStr">
        <is>
          <t>已在线读取</t>
        </is>
      </c>
      <c r="E9" s="3" t="inlineStr">
        <is>
          <t>2026-10-13（北京时间）</t>
        </is>
      </c>
      <c r="F9" s="3" t="inlineStr">
        <is>
          <t>https://raw.githubusercontent.com/husarion/husarion_ugv_ros/559e784b84c05c813b6ecfce02751d8b3966528a/husarion_ugv_battery/README.md</t>
        </is>
      </c>
      <c r="G9" s="3" t="inlineStr">
        <is>
          <t>559e784b84c05c813b6ecfce02751d8b3966528a</t>
        </is>
      </c>
      <c r="H9" s="3" t="inlineStr">
        <is>
          <t>5905be7e9a5f70a79f5bacfc5846a54a326cf940ab8472ba1203e659307a3800</t>
        </is>
      </c>
    </row>
    <row r="10">
      <c r="A10" s="2" t="inlineStr">
        <is>
          <t>S09</t>
        </is>
      </c>
      <c r="B10" s="2" t="inlineStr">
        <is>
          <t>HS 商品分类数据</t>
        </is>
      </c>
      <c r="C10" s="2" t="inlineStr">
        <is>
          <t>二手开放数据</t>
        </is>
      </c>
      <c r="D10" s="2" t="inlineStr">
        <is>
          <t>已在线读取</t>
        </is>
      </c>
      <c r="E10" s="2" t="inlineStr">
        <is>
          <t>2026-10-13（北京时间）</t>
        </is>
      </c>
      <c r="F10" s="2" t="inlineStr">
        <is>
          <t>https://raw.githubusercontent.com/datasets/harmonized-system/b1be3f2531a85fb0ea17147b19c41d3641912e43/data/harmonized-system.csv</t>
        </is>
      </c>
      <c r="G10" s="2" t="inlineStr">
        <is>
          <t>b1be3f2531a85fb0ea17147b19c41d3641912e43</t>
        </is>
      </c>
      <c r="H10" s="2" t="inlineStr">
        <is>
          <t>e77ee9e1cfd15a42d1fadeb2c0618d10f6b9ed9aec0e5d66826dc7ef9d3126a5</t>
        </is>
      </c>
    </row>
    <row r="11">
      <c r="A11" s="3" t="inlineStr">
        <is>
          <t>S10</t>
        </is>
      </c>
      <c r="B11" s="3" t="inlineStr">
        <is>
          <t>HS 数据来源说明</t>
        </is>
      </c>
      <c r="C11" s="3" t="inlineStr">
        <is>
          <t>二手开放数据</t>
        </is>
      </c>
      <c r="D11" s="3" t="inlineStr">
        <is>
          <t>已在线读取</t>
        </is>
      </c>
      <c r="E11" s="3" t="inlineStr">
        <is>
          <t>2026-10-13（北京时间）</t>
        </is>
      </c>
      <c r="F11" s="3" t="inlineStr">
        <is>
          <t>https://raw.githubusercontent.com/datasets/harmonized-system/b1be3f2531a85fb0ea17147b19c41d3641912e43/README.md</t>
        </is>
      </c>
      <c r="G11" s="3" t="inlineStr">
        <is>
          <t>b1be3f2531a85fb0ea17147b19c41d3641912e43</t>
        </is>
      </c>
      <c r="H11" s="3" t="inlineStr">
        <is>
          <t>20e4050f75a747514208cf22d8c7f89629cea1f8268556a27dcc894549623f81</t>
        </is>
      </c>
    </row>
  </sheetData>
  <autoFilter ref="A1:H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指标</t>
        </is>
      </c>
      <c r="B1" s="1" t="inlineStr">
        <is>
          <t>统计口径</t>
        </is>
      </c>
      <c r="C1" s="1" t="inlineStr">
        <is>
          <t>数值状态</t>
        </is>
      </c>
      <c r="D1" s="1" t="inlineStr">
        <is>
          <t>必要来源</t>
        </is>
      </c>
      <c r="E1" s="1" t="inlineStr">
        <is>
          <t>使用限制</t>
        </is>
      </c>
    </row>
    <row r="2">
      <c r="A2" s="2" t="inlineStr">
        <is>
          <t>全球具身机器人市场规模</t>
        </is>
      </c>
      <c r="B2" s="2" t="inlineStr">
        <is>
          <t>硬件/软件/服务与形态明确</t>
        </is>
      </c>
      <c r="C2" s="2" t="inlineStr">
        <is>
          <t>待核验</t>
        </is>
      </c>
      <c r="D2" s="2" t="inlineStr">
        <is>
          <t>原始市场报告</t>
        </is>
      </c>
      <c r="E2" s="2" t="inlineStr">
        <is>
          <t>不得合并重叠口径</t>
        </is>
      </c>
    </row>
    <row r="3">
      <c r="A3" s="3" t="inlineStr">
        <is>
          <t>增长率/CAGR</t>
        </is>
      </c>
      <c r="B3" s="3" t="inlineStr">
        <is>
          <t>同一报告同一口径历史序列</t>
        </is>
      </c>
      <c r="C3" s="3" t="inlineStr">
        <is>
          <t>待核验</t>
        </is>
      </c>
      <c r="D3" s="3" t="inlineStr">
        <is>
          <t>原始市场报告</t>
        </is>
      </c>
      <c r="E3" s="3" t="inlineStr">
        <is>
          <t>不得混用报告</t>
        </is>
      </c>
    </row>
    <row r="4">
      <c r="A4" s="2" t="inlineStr">
        <is>
          <t>2026 全年市场规模</t>
        </is>
      </c>
      <c r="B4" s="2" t="inlineStr">
        <is>
          <t>全年预测与已发布实绩分开</t>
        </is>
      </c>
      <c r="C4" s="2" t="inlineStr">
        <is>
          <t>待核验</t>
        </is>
      </c>
      <c r="D4" s="2" t="inlineStr">
        <is>
          <t>原始报告及统计</t>
        </is>
      </c>
      <c r="E4" s="2" t="inlineStr">
        <is>
          <t>研究日不能确认全年实绩</t>
        </is>
      </c>
    </row>
    <row r="5">
      <c r="A5" s="3" t="inlineStr">
        <is>
          <t>机器人出货量</t>
        </is>
      </c>
      <c r="B5" s="3" t="inlineStr">
        <is>
          <t>订单/产能/交付/验收分开</t>
        </is>
      </c>
      <c r="C5" s="3" t="inlineStr">
        <is>
          <t>待核验</t>
        </is>
      </c>
      <c r="D5" s="3" t="inlineStr">
        <is>
          <t>IFR及厂商/客户证据</t>
        </is>
      </c>
      <c r="E5" s="3" t="inlineStr">
        <is>
          <t>计划不是交付</t>
        </is>
      </c>
    </row>
    <row r="6">
      <c r="A6" s="2" t="inlineStr">
        <is>
          <t>海外电池 SAM</t>
        </is>
      </c>
      <c r="B6" s="2" t="inlineStr">
        <is>
          <t>电池供电、外采、认证与包数</t>
        </is>
      </c>
      <c r="C6" s="2" t="inlineStr">
        <is>
          <t>待核验</t>
        </is>
      </c>
      <c r="D6" s="2" t="inlineStr">
        <is>
          <t>客户BOM与RFQ</t>
        </is>
      </c>
      <c r="E6" s="2" t="inlineStr">
        <is>
          <t>不能使用整机销售额代替</t>
        </is>
      </c>
    </row>
    <row r="7">
      <c r="A7" s="3" t="inlineStr">
        <is>
          <t>主要贸易国家排名</t>
        </is>
      </c>
      <c r="B7" s="3" t="inlineStr">
        <is>
          <t>编码/年份/流向分别排序</t>
        </is>
      </c>
      <c r="C7" s="3" t="inlineStr">
        <is>
          <t>待核验</t>
        </is>
      </c>
      <c r="D7" s="3" t="inlineStr">
        <is>
          <t>UN Comtrade/WITS</t>
        </is>
      </c>
      <c r="E7" s="3" t="inlineStr">
        <is>
          <t>候选国家不是排名</t>
        </is>
      </c>
    </row>
  </sheetData>
  <autoFilter ref="A1: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  <col width="18.4" customWidth="1" min="5" max="5"/>
    <col width="18" customWidth="1" min="6" max="6"/>
    <col width="18" customWidth="1" min="7" max="7"/>
  </cols>
  <sheetData>
    <row r="1">
      <c r="A1" s="1" t="inlineStr">
        <is>
          <t>对象/用途</t>
        </is>
      </c>
      <c r="B1" s="1" t="inlineStr">
        <is>
          <t>证据标签</t>
        </is>
      </c>
      <c r="C1" s="1" t="inlineStr">
        <is>
          <t>体系</t>
        </is>
      </c>
      <c r="D1" s="1" t="inlineStr">
        <is>
          <t>电压信息</t>
        </is>
      </c>
      <c r="E1" s="1" t="inlineStr">
        <is>
          <t>容量/能量</t>
        </is>
      </c>
      <c r="F1" s="1" t="inlineStr">
        <is>
          <t>来源/假设</t>
        </is>
      </c>
      <c r="G1" s="1" t="inlineStr">
        <is>
          <t>限制</t>
        </is>
      </c>
    </row>
    <row r="2">
      <c r="A2" s="2" t="inlineStr">
        <is>
          <t>Spot 官方文件所述平台</t>
        </is>
      </c>
      <c r="B2" s="2" t="inlineStr">
        <is>
          <t>事实</t>
        </is>
      </c>
      <c r="C2" s="2" t="inlineStr">
        <is>
          <t>锂离子</t>
        </is>
      </c>
      <c r="D2" s="2" t="inlineStr">
        <is>
          <t>工作35–58.8 V；母线钳位72 V</t>
        </is>
      </c>
      <c r="E2" s="2" t="inlineStr">
        <is>
          <t>600 Wh</t>
        </is>
      </c>
      <c r="F2" s="2" t="inlineStr">
        <is>
          <t>S01</t>
        </is>
      </c>
      <c r="G2" s="2" t="inlineStr">
        <is>
          <t>不提供标称Ah；不推定化学细分</t>
        </is>
      </c>
    </row>
    <row r="3">
      <c r="A3" s="3" t="inlineStr">
        <is>
          <t>Unitree BMS消息</t>
        </is>
      </c>
      <c r="B3" s="3" t="inlineStr">
        <is>
          <t>事实</t>
        </is>
      </c>
      <c r="C3" s="3" t="inlineStr">
        <is>
          <t>未注明</t>
        </is>
      </c>
      <c r="D3" s="3" t="inlineStr">
        <is>
          <t>单体电压字段；不能推定额定电压</t>
        </is>
      </c>
      <c r="E3" s="3" t="inlineStr">
        <is>
          <t>未注明</t>
        </is>
      </c>
      <c r="F3" s="3" t="inlineStr">
        <is>
          <t>S04</t>
        </is>
      </c>
      <c r="G3" s="3" t="inlineStr">
        <is>
          <t>字段不是型号产品规格</t>
        </is>
      </c>
    </row>
    <row r="4">
      <c r="A4" s="2" t="inlineStr">
        <is>
          <t>Husarion监测</t>
        </is>
      </c>
      <c r="B4" s="2" t="inlineStr">
        <is>
          <t>事实</t>
        </is>
      </c>
      <c r="C4" s="2" t="inlineStr">
        <is>
          <t>未注明</t>
        </is>
      </c>
      <c r="D4" s="2" t="inlineStr">
        <is>
          <t>监测字段，不提供额定电压</t>
        </is>
      </c>
      <c r="E4" s="2" t="inlineStr">
        <is>
          <t>未注明</t>
        </is>
      </c>
      <c r="F4" s="2" t="inlineStr">
        <is>
          <t>S08</t>
        </is>
      </c>
      <c r="G4" s="2" t="inlineStr">
        <is>
          <t>双包支持不证明出厂配置</t>
        </is>
      </c>
    </row>
    <row r="5">
      <c r="A5" s="3" t="inlineStr">
        <is>
          <t>动态人形/四足开发参考</t>
        </is>
      </c>
      <c r="B5" s="3" t="inlineStr">
        <is>
          <t>工程假设</t>
        </is>
      </c>
      <c r="C5" s="3" t="inlineStr">
        <is>
          <t>高能量/高功率锂离子等</t>
        </is>
      </c>
      <c r="D5" s="3" t="inlineStr">
        <is>
          <t>36–60 V级</t>
        </is>
      </c>
      <c r="E5" s="3" t="inlineStr">
        <is>
          <t>10–30 Ah；约0.36–1.8 kWh</t>
        </is>
      </c>
      <c r="F5" s="3" t="inlineStr">
        <is>
          <t>分析建议</t>
        </is>
      </c>
      <c r="G5" s="3" t="inlineStr">
        <is>
          <t>不是行业典型值</t>
        </is>
      </c>
    </row>
    <row r="6">
      <c r="A6" s="2" t="inlineStr">
        <is>
          <t>轮式平台开发参考</t>
        </is>
      </c>
      <c r="B6" s="2" t="inlineStr">
        <is>
          <t>工程假设</t>
        </is>
      </c>
      <c r="C6" s="2" t="inlineStr">
        <is>
          <t>LiFePO4或其他锂离子</t>
        </is>
      </c>
      <c r="D6" s="2" t="inlineStr">
        <is>
          <t>24/48 V级；LFP可为25.6/51.2 V</t>
        </is>
      </c>
      <c r="E6" s="2" t="inlineStr">
        <is>
          <t>20–100 Ah；约0.48–4.8 kWh</t>
        </is>
      </c>
      <c r="F6" s="2" t="inlineStr">
        <is>
          <t>分析建议</t>
        </is>
      </c>
      <c r="G6" s="2" t="inlineStr">
        <is>
          <t>全电压/充电/重量需匹配</t>
        </is>
      </c>
    </row>
    <row r="7">
      <c r="A7" s="3" t="inlineStr">
        <is>
          <t>小型移动服务开发参考</t>
        </is>
      </c>
      <c r="B7" s="3" t="inlineStr">
        <is>
          <t>工程假设</t>
        </is>
      </c>
      <c r="C7" s="3" t="inlineStr">
        <is>
          <t>锂离子/软包等</t>
        </is>
      </c>
      <c r="D7" s="3" t="inlineStr">
        <is>
          <t>12–24 V级</t>
        </is>
      </c>
      <c r="E7" s="3" t="inlineStr">
        <is>
          <t>5–30 Ah；约60–720 Wh</t>
        </is>
      </c>
      <c r="F7" s="3" t="inlineStr">
        <is>
          <t>分析建议</t>
        </is>
      </c>
      <c r="G7" s="3" t="inlineStr">
        <is>
          <t>不是现有BPI产品参数</t>
        </is>
      </c>
    </row>
    <row r="8">
      <c r="A8" s="2" t="inlineStr">
        <is>
          <t>辅助供电开发参考</t>
        </is>
      </c>
      <c r="B8" s="2" t="inlineStr">
        <is>
          <t>工程假设</t>
        </is>
      </c>
      <c r="C8" s="2" t="inlineStr">
        <is>
          <t>按实际模块选择</t>
        </is>
      </c>
      <c r="D8" s="2" t="inlineStr">
        <is>
          <t>3.7–14.8 V级</t>
        </is>
      </c>
      <c r="E8" s="2" t="inlineStr">
        <is>
          <t>1–10 Ah；约3.7–148 Wh</t>
        </is>
      </c>
      <c r="F8" s="2" t="inlineStr">
        <is>
          <t>分析建议</t>
        </is>
      </c>
      <c r="G8" s="2" t="inlineStr">
        <is>
          <t>先确认独立电池必要性</t>
        </is>
      </c>
    </row>
  </sheetData>
  <autoFilter ref="A1:G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国家/地区</t>
        </is>
      </c>
      <c r="B1" s="1" t="inlineStr">
        <is>
          <t>报告国代码线索</t>
        </is>
      </c>
      <c r="C1" s="1" t="inlineStr">
        <is>
          <t>HS线索</t>
        </is>
      </c>
      <c r="D1" s="1" t="inlineStr">
        <is>
          <t>年度</t>
        </is>
      </c>
      <c r="E1" s="1" t="inlineStr">
        <is>
          <t>流向</t>
        </is>
      </c>
      <c r="F1" s="1" t="inlineStr">
        <is>
          <t>贸易值USD</t>
        </is>
      </c>
      <c r="G1" s="1" t="inlineStr">
        <is>
          <t>数量</t>
        </is>
      </c>
      <c r="H1" s="1" t="inlineStr">
        <is>
          <t>数量单位</t>
        </is>
      </c>
      <c r="I1" s="1" t="inlineStr">
        <is>
          <t>净重kg</t>
        </is>
      </c>
      <c r="J1" s="1" t="inlineStr">
        <is>
          <t>来源状态</t>
        </is>
      </c>
      <c r="K1" s="1" t="inlineStr">
        <is>
          <t>注意</t>
        </is>
      </c>
    </row>
    <row r="2">
      <c r="A2" s="2" t="inlineStr">
        <is>
          <t>中国</t>
        </is>
      </c>
      <c r="B2" s="2" t="n">
        <v>156</v>
      </c>
      <c r="C2" s="2" t="inlineStr">
        <is>
          <t>847950</t>
        </is>
      </c>
      <c r="D2" s="2" t="inlineStr">
        <is>
          <t>最新完整年度待确认</t>
        </is>
      </c>
      <c r="E2" s="2" t="inlineStr">
        <is>
          <t>进口</t>
        </is>
      </c>
      <c r="F2" s="2" t="inlineStr">
        <is>
          <t>待核验</t>
        </is>
      </c>
      <c r="G2" s="2" t="inlineStr">
        <is>
          <t>待核验</t>
        </is>
      </c>
      <c r="H2" s="2" t="inlineStr">
        <is>
          <t>待核验</t>
        </is>
      </c>
      <c r="I2" s="2" t="inlineStr">
        <is>
          <t>待核验</t>
        </is>
      </c>
      <c r="J2" s="2" t="inlineStr">
        <is>
          <t>未取得原始数据</t>
        </is>
      </c>
      <c r="K2" s="2" t="inlineStr">
        <is>
          <t>候选查询节点；不是贸易排名；HS版本待确认</t>
        </is>
      </c>
    </row>
    <row r="3">
      <c r="A3" s="3" t="inlineStr">
        <is>
          <t>中国</t>
        </is>
      </c>
      <c r="B3" s="3" t="n">
        <v>156</v>
      </c>
      <c r="C3" s="3" t="inlineStr">
        <is>
          <t>847950</t>
        </is>
      </c>
      <c r="D3" s="3" t="inlineStr">
        <is>
          <t>最新完整年度待确认</t>
        </is>
      </c>
      <c r="E3" s="3" t="inlineStr">
        <is>
          <t>出口</t>
        </is>
      </c>
      <c r="F3" s="3" t="inlineStr">
        <is>
          <t>待核验</t>
        </is>
      </c>
      <c r="G3" s="3" t="inlineStr">
        <is>
          <t>待核验</t>
        </is>
      </c>
      <c r="H3" s="3" t="inlineStr">
        <is>
          <t>待核验</t>
        </is>
      </c>
      <c r="I3" s="3" t="inlineStr">
        <is>
          <t>待核验</t>
        </is>
      </c>
      <c r="J3" s="3" t="inlineStr">
        <is>
          <t>未取得原始数据</t>
        </is>
      </c>
      <c r="K3" s="3" t="inlineStr">
        <is>
          <t>候选查询节点；不是贸易排名；HS版本待确认</t>
        </is>
      </c>
    </row>
    <row r="4">
      <c r="A4" s="2" t="inlineStr">
        <is>
          <t>中国</t>
        </is>
      </c>
      <c r="B4" s="2" t="n">
        <v>156</v>
      </c>
      <c r="C4" s="2" t="inlineStr">
        <is>
          <t>850760</t>
        </is>
      </c>
      <c r="D4" s="2" t="inlineStr">
        <is>
          <t>最新完整年度待确认</t>
        </is>
      </c>
      <c r="E4" s="2" t="inlineStr">
        <is>
          <t>进口</t>
        </is>
      </c>
      <c r="F4" s="2" t="inlineStr">
        <is>
          <t>待核验</t>
        </is>
      </c>
      <c r="G4" s="2" t="inlineStr">
        <is>
          <t>待核验</t>
        </is>
      </c>
      <c r="H4" s="2" t="inlineStr">
        <is>
          <t>待核验</t>
        </is>
      </c>
      <c r="I4" s="2" t="inlineStr">
        <is>
          <t>待核验</t>
        </is>
      </c>
      <c r="J4" s="2" t="inlineStr">
        <is>
          <t>未取得原始数据</t>
        </is>
      </c>
      <c r="K4" s="2" t="inlineStr">
        <is>
          <t>候选查询节点；不是贸易排名；HS版本待确认</t>
        </is>
      </c>
    </row>
    <row r="5">
      <c r="A5" s="3" t="inlineStr">
        <is>
          <t>中国</t>
        </is>
      </c>
      <c r="B5" s="3" t="n">
        <v>156</v>
      </c>
      <c r="C5" s="3" t="inlineStr">
        <is>
          <t>850760</t>
        </is>
      </c>
      <c r="D5" s="3" t="inlineStr">
        <is>
          <t>最新完整年度待确认</t>
        </is>
      </c>
      <c r="E5" s="3" t="inlineStr">
        <is>
          <t>出口</t>
        </is>
      </c>
      <c r="F5" s="3" t="inlineStr">
        <is>
          <t>待核验</t>
        </is>
      </c>
      <c r="G5" s="3" t="inlineStr">
        <is>
          <t>待核验</t>
        </is>
      </c>
      <c r="H5" s="3" t="inlineStr">
        <is>
          <t>待核验</t>
        </is>
      </c>
      <c r="I5" s="3" t="inlineStr">
        <is>
          <t>待核验</t>
        </is>
      </c>
      <c r="J5" s="3" t="inlineStr">
        <is>
          <t>未取得原始数据</t>
        </is>
      </c>
      <c r="K5" s="3" t="inlineStr">
        <is>
          <t>候选查询节点；不是贸易排名；HS版本待确认</t>
        </is>
      </c>
    </row>
    <row r="6">
      <c r="A6" s="2" t="inlineStr">
        <is>
          <t>美国</t>
        </is>
      </c>
      <c r="B6" s="2" t="n">
        <v>842</v>
      </c>
      <c r="C6" s="2" t="inlineStr">
        <is>
          <t>847950</t>
        </is>
      </c>
      <c r="D6" s="2" t="inlineStr">
        <is>
          <t>最新完整年度待确认</t>
        </is>
      </c>
      <c r="E6" s="2" t="inlineStr">
        <is>
          <t>进口</t>
        </is>
      </c>
      <c r="F6" s="2" t="inlineStr">
        <is>
          <t>待核验</t>
        </is>
      </c>
      <c r="G6" s="2" t="inlineStr">
        <is>
          <t>待核验</t>
        </is>
      </c>
      <c r="H6" s="2" t="inlineStr">
        <is>
          <t>待核验</t>
        </is>
      </c>
      <c r="I6" s="2" t="inlineStr">
        <is>
          <t>待核验</t>
        </is>
      </c>
      <c r="J6" s="2" t="inlineStr">
        <is>
          <t>未取得原始数据</t>
        </is>
      </c>
      <c r="K6" s="2" t="inlineStr">
        <is>
          <t>候选查询节点；不是贸易排名；HS版本待确认</t>
        </is>
      </c>
    </row>
    <row r="7">
      <c r="A7" s="3" t="inlineStr">
        <is>
          <t>美国</t>
        </is>
      </c>
      <c r="B7" s="3" t="n">
        <v>842</v>
      </c>
      <c r="C7" s="3" t="inlineStr">
        <is>
          <t>847950</t>
        </is>
      </c>
      <c r="D7" s="3" t="inlineStr">
        <is>
          <t>最新完整年度待确认</t>
        </is>
      </c>
      <c r="E7" s="3" t="inlineStr">
        <is>
          <t>出口</t>
        </is>
      </c>
      <c r="F7" s="3" t="inlineStr">
        <is>
          <t>待核验</t>
        </is>
      </c>
      <c r="G7" s="3" t="inlineStr">
        <is>
          <t>待核验</t>
        </is>
      </c>
      <c r="H7" s="3" t="inlineStr">
        <is>
          <t>待核验</t>
        </is>
      </c>
      <c r="I7" s="3" t="inlineStr">
        <is>
          <t>待核验</t>
        </is>
      </c>
      <c r="J7" s="3" t="inlineStr">
        <is>
          <t>未取得原始数据</t>
        </is>
      </c>
      <c r="K7" s="3" t="inlineStr">
        <is>
          <t>候选查询节点；不是贸易排名；HS版本待确认</t>
        </is>
      </c>
    </row>
    <row r="8">
      <c r="A8" s="2" t="inlineStr">
        <is>
          <t>美国</t>
        </is>
      </c>
      <c r="B8" s="2" t="n">
        <v>842</v>
      </c>
      <c r="C8" s="2" t="inlineStr">
        <is>
          <t>850760</t>
        </is>
      </c>
      <c r="D8" s="2" t="inlineStr">
        <is>
          <t>最新完整年度待确认</t>
        </is>
      </c>
      <c r="E8" s="2" t="inlineStr">
        <is>
          <t>进口</t>
        </is>
      </c>
      <c r="F8" s="2" t="inlineStr">
        <is>
          <t>待核验</t>
        </is>
      </c>
      <c r="G8" s="2" t="inlineStr">
        <is>
          <t>待核验</t>
        </is>
      </c>
      <c r="H8" s="2" t="inlineStr">
        <is>
          <t>待核验</t>
        </is>
      </c>
      <c r="I8" s="2" t="inlineStr">
        <is>
          <t>待核验</t>
        </is>
      </c>
      <c r="J8" s="2" t="inlineStr">
        <is>
          <t>未取得原始数据</t>
        </is>
      </c>
      <c r="K8" s="2" t="inlineStr">
        <is>
          <t>候选查询节点；不是贸易排名；HS版本待确认</t>
        </is>
      </c>
    </row>
    <row r="9">
      <c r="A9" s="3" t="inlineStr">
        <is>
          <t>美国</t>
        </is>
      </c>
      <c r="B9" s="3" t="n">
        <v>842</v>
      </c>
      <c r="C9" s="3" t="inlineStr">
        <is>
          <t>850760</t>
        </is>
      </c>
      <c r="D9" s="3" t="inlineStr">
        <is>
          <t>最新完整年度待确认</t>
        </is>
      </c>
      <c r="E9" s="3" t="inlineStr">
        <is>
          <t>出口</t>
        </is>
      </c>
      <c r="F9" s="3" t="inlineStr">
        <is>
          <t>待核验</t>
        </is>
      </c>
      <c r="G9" s="3" t="inlineStr">
        <is>
          <t>待核验</t>
        </is>
      </c>
      <c r="H9" s="3" t="inlineStr">
        <is>
          <t>待核验</t>
        </is>
      </c>
      <c r="I9" s="3" t="inlineStr">
        <is>
          <t>待核验</t>
        </is>
      </c>
      <c r="J9" s="3" t="inlineStr">
        <is>
          <t>未取得原始数据</t>
        </is>
      </c>
      <c r="K9" s="3" t="inlineStr">
        <is>
          <t>候选查询节点；不是贸易排名；HS版本待确认</t>
        </is>
      </c>
    </row>
    <row r="10">
      <c r="A10" s="2" t="inlineStr">
        <is>
          <t>德国</t>
        </is>
      </c>
      <c r="B10" s="2" t="n">
        <v>276</v>
      </c>
      <c r="C10" s="2" t="inlineStr">
        <is>
          <t>847950</t>
        </is>
      </c>
      <c r="D10" s="2" t="inlineStr">
        <is>
          <t>最新完整年度待确认</t>
        </is>
      </c>
      <c r="E10" s="2" t="inlineStr">
        <is>
          <t>进口</t>
        </is>
      </c>
      <c r="F10" s="2" t="inlineStr">
        <is>
          <t>待核验</t>
        </is>
      </c>
      <c r="G10" s="2" t="inlineStr">
        <is>
          <t>待核验</t>
        </is>
      </c>
      <c r="H10" s="2" t="inlineStr">
        <is>
          <t>待核验</t>
        </is>
      </c>
      <c r="I10" s="2" t="inlineStr">
        <is>
          <t>待核验</t>
        </is>
      </c>
      <c r="J10" s="2" t="inlineStr">
        <is>
          <t>未取得原始数据</t>
        </is>
      </c>
      <c r="K10" s="2" t="inlineStr">
        <is>
          <t>候选查询节点；不是贸易排名；HS版本待确认</t>
        </is>
      </c>
    </row>
    <row r="11">
      <c r="A11" s="3" t="inlineStr">
        <is>
          <t>德国</t>
        </is>
      </c>
      <c r="B11" s="3" t="n">
        <v>276</v>
      </c>
      <c r="C11" s="3" t="inlineStr">
        <is>
          <t>847950</t>
        </is>
      </c>
      <c r="D11" s="3" t="inlineStr">
        <is>
          <t>最新完整年度待确认</t>
        </is>
      </c>
      <c r="E11" s="3" t="inlineStr">
        <is>
          <t>出口</t>
        </is>
      </c>
      <c r="F11" s="3" t="inlineStr">
        <is>
          <t>待核验</t>
        </is>
      </c>
      <c r="G11" s="3" t="inlineStr">
        <is>
          <t>待核验</t>
        </is>
      </c>
      <c r="H11" s="3" t="inlineStr">
        <is>
          <t>待核验</t>
        </is>
      </c>
      <c r="I11" s="3" t="inlineStr">
        <is>
          <t>待核验</t>
        </is>
      </c>
      <c r="J11" s="3" t="inlineStr">
        <is>
          <t>未取得原始数据</t>
        </is>
      </c>
      <c r="K11" s="3" t="inlineStr">
        <is>
          <t>候选查询节点；不是贸易排名；HS版本待确认</t>
        </is>
      </c>
    </row>
    <row r="12">
      <c r="A12" s="2" t="inlineStr">
        <is>
          <t>德国</t>
        </is>
      </c>
      <c r="B12" s="2" t="n">
        <v>276</v>
      </c>
      <c r="C12" s="2" t="inlineStr">
        <is>
          <t>850760</t>
        </is>
      </c>
      <c r="D12" s="2" t="inlineStr">
        <is>
          <t>最新完整年度待确认</t>
        </is>
      </c>
      <c r="E12" s="2" t="inlineStr">
        <is>
          <t>进口</t>
        </is>
      </c>
      <c r="F12" s="2" t="inlineStr">
        <is>
          <t>待核验</t>
        </is>
      </c>
      <c r="G12" s="2" t="inlineStr">
        <is>
          <t>待核验</t>
        </is>
      </c>
      <c r="H12" s="2" t="inlineStr">
        <is>
          <t>待核验</t>
        </is>
      </c>
      <c r="I12" s="2" t="inlineStr">
        <is>
          <t>待核验</t>
        </is>
      </c>
      <c r="J12" s="2" t="inlineStr">
        <is>
          <t>未取得原始数据</t>
        </is>
      </c>
      <c r="K12" s="2" t="inlineStr">
        <is>
          <t>候选查询节点；不是贸易排名；HS版本待确认</t>
        </is>
      </c>
    </row>
    <row r="13">
      <c r="A13" s="3" t="inlineStr">
        <is>
          <t>德国</t>
        </is>
      </c>
      <c r="B13" s="3" t="n">
        <v>276</v>
      </c>
      <c r="C13" s="3" t="inlineStr">
        <is>
          <t>850760</t>
        </is>
      </c>
      <c r="D13" s="3" t="inlineStr">
        <is>
          <t>最新完整年度待确认</t>
        </is>
      </c>
      <c r="E13" s="3" t="inlineStr">
        <is>
          <t>出口</t>
        </is>
      </c>
      <c r="F13" s="3" t="inlineStr">
        <is>
          <t>待核验</t>
        </is>
      </c>
      <c r="G13" s="3" t="inlineStr">
        <is>
          <t>待核验</t>
        </is>
      </c>
      <c r="H13" s="3" t="inlineStr">
        <is>
          <t>待核验</t>
        </is>
      </c>
      <c r="I13" s="3" t="inlineStr">
        <is>
          <t>待核验</t>
        </is>
      </c>
      <c r="J13" s="3" t="inlineStr">
        <is>
          <t>未取得原始数据</t>
        </is>
      </c>
      <c r="K13" s="3" t="inlineStr">
        <is>
          <t>候选查询节点；不是贸易排名；HS版本待确认</t>
        </is>
      </c>
    </row>
    <row r="14">
      <c r="A14" s="2" t="inlineStr">
        <is>
          <t>日本</t>
        </is>
      </c>
      <c r="B14" s="2" t="n">
        <v>392</v>
      </c>
      <c r="C14" s="2" t="inlineStr">
        <is>
          <t>847950</t>
        </is>
      </c>
      <c r="D14" s="2" t="inlineStr">
        <is>
          <t>最新完整年度待确认</t>
        </is>
      </c>
      <c r="E14" s="2" t="inlineStr">
        <is>
          <t>进口</t>
        </is>
      </c>
      <c r="F14" s="2" t="inlineStr">
        <is>
          <t>待核验</t>
        </is>
      </c>
      <c r="G14" s="2" t="inlineStr">
        <is>
          <t>待核验</t>
        </is>
      </c>
      <c r="H14" s="2" t="inlineStr">
        <is>
          <t>待核验</t>
        </is>
      </c>
      <c r="I14" s="2" t="inlineStr">
        <is>
          <t>待核验</t>
        </is>
      </c>
      <c r="J14" s="2" t="inlineStr">
        <is>
          <t>未取得原始数据</t>
        </is>
      </c>
      <c r="K14" s="2" t="inlineStr">
        <is>
          <t>候选查询节点；不是贸易排名；HS版本待确认</t>
        </is>
      </c>
    </row>
    <row r="15">
      <c r="A15" s="3" t="inlineStr">
        <is>
          <t>日本</t>
        </is>
      </c>
      <c r="B15" s="3" t="n">
        <v>392</v>
      </c>
      <c r="C15" s="3" t="inlineStr">
        <is>
          <t>847950</t>
        </is>
      </c>
      <c r="D15" s="3" t="inlineStr">
        <is>
          <t>最新完整年度待确认</t>
        </is>
      </c>
      <c r="E15" s="3" t="inlineStr">
        <is>
          <t>出口</t>
        </is>
      </c>
      <c r="F15" s="3" t="inlineStr">
        <is>
          <t>待核验</t>
        </is>
      </c>
      <c r="G15" s="3" t="inlineStr">
        <is>
          <t>待核验</t>
        </is>
      </c>
      <c r="H15" s="3" t="inlineStr">
        <is>
          <t>待核验</t>
        </is>
      </c>
      <c r="I15" s="3" t="inlineStr">
        <is>
          <t>待核验</t>
        </is>
      </c>
      <c r="J15" s="3" t="inlineStr">
        <is>
          <t>未取得原始数据</t>
        </is>
      </c>
      <c r="K15" s="3" t="inlineStr">
        <is>
          <t>候选查询节点；不是贸易排名；HS版本待确认</t>
        </is>
      </c>
    </row>
    <row r="16">
      <c r="A16" s="2" t="inlineStr">
        <is>
          <t>日本</t>
        </is>
      </c>
      <c r="B16" s="2" t="n">
        <v>392</v>
      </c>
      <c r="C16" s="2" t="inlineStr">
        <is>
          <t>850760</t>
        </is>
      </c>
      <c r="D16" s="2" t="inlineStr">
        <is>
          <t>最新完整年度待确认</t>
        </is>
      </c>
      <c r="E16" s="2" t="inlineStr">
        <is>
          <t>进口</t>
        </is>
      </c>
      <c r="F16" s="2" t="inlineStr">
        <is>
          <t>待核验</t>
        </is>
      </c>
      <c r="G16" s="2" t="inlineStr">
        <is>
          <t>待核验</t>
        </is>
      </c>
      <c r="H16" s="2" t="inlineStr">
        <is>
          <t>待核验</t>
        </is>
      </c>
      <c r="I16" s="2" t="inlineStr">
        <is>
          <t>待核验</t>
        </is>
      </c>
      <c r="J16" s="2" t="inlineStr">
        <is>
          <t>未取得原始数据</t>
        </is>
      </c>
      <c r="K16" s="2" t="inlineStr">
        <is>
          <t>候选查询节点；不是贸易排名；HS版本待确认</t>
        </is>
      </c>
    </row>
    <row r="17">
      <c r="A17" s="3" t="inlineStr">
        <is>
          <t>日本</t>
        </is>
      </c>
      <c r="B17" s="3" t="n">
        <v>392</v>
      </c>
      <c r="C17" s="3" t="inlineStr">
        <is>
          <t>850760</t>
        </is>
      </c>
      <c r="D17" s="3" t="inlineStr">
        <is>
          <t>最新完整年度待确认</t>
        </is>
      </c>
      <c r="E17" s="3" t="inlineStr">
        <is>
          <t>出口</t>
        </is>
      </c>
      <c r="F17" s="3" t="inlineStr">
        <is>
          <t>待核验</t>
        </is>
      </c>
      <c r="G17" s="3" t="inlineStr">
        <is>
          <t>待核验</t>
        </is>
      </c>
      <c r="H17" s="3" t="inlineStr">
        <is>
          <t>待核验</t>
        </is>
      </c>
      <c r="I17" s="3" t="inlineStr">
        <is>
          <t>待核验</t>
        </is>
      </c>
      <c r="J17" s="3" t="inlineStr">
        <is>
          <t>未取得原始数据</t>
        </is>
      </c>
      <c r="K17" s="3" t="inlineStr">
        <is>
          <t>候选查询节点；不是贸易排名；HS版本待确认</t>
        </is>
      </c>
    </row>
    <row r="18">
      <c r="A18" s="2" t="inlineStr">
        <is>
          <t>韩国</t>
        </is>
      </c>
      <c r="B18" s="2" t="n">
        <v>410</v>
      </c>
      <c r="C18" s="2" t="inlineStr">
        <is>
          <t>847950</t>
        </is>
      </c>
      <c r="D18" s="2" t="inlineStr">
        <is>
          <t>最新完整年度待确认</t>
        </is>
      </c>
      <c r="E18" s="2" t="inlineStr">
        <is>
          <t>进口</t>
        </is>
      </c>
      <c r="F18" s="2" t="inlineStr">
        <is>
          <t>待核验</t>
        </is>
      </c>
      <c r="G18" s="2" t="inlineStr">
        <is>
          <t>待核验</t>
        </is>
      </c>
      <c r="H18" s="2" t="inlineStr">
        <is>
          <t>待核验</t>
        </is>
      </c>
      <c r="I18" s="2" t="inlineStr">
        <is>
          <t>待核验</t>
        </is>
      </c>
      <c r="J18" s="2" t="inlineStr">
        <is>
          <t>未取得原始数据</t>
        </is>
      </c>
      <c r="K18" s="2" t="inlineStr">
        <is>
          <t>候选查询节点；不是贸易排名；HS版本待确认</t>
        </is>
      </c>
    </row>
    <row r="19">
      <c r="A19" s="3" t="inlineStr">
        <is>
          <t>韩国</t>
        </is>
      </c>
      <c r="B19" s="3" t="n">
        <v>410</v>
      </c>
      <c r="C19" s="3" t="inlineStr">
        <is>
          <t>847950</t>
        </is>
      </c>
      <c r="D19" s="3" t="inlineStr">
        <is>
          <t>最新完整年度待确认</t>
        </is>
      </c>
      <c r="E19" s="3" t="inlineStr">
        <is>
          <t>出口</t>
        </is>
      </c>
      <c r="F19" s="3" t="inlineStr">
        <is>
          <t>待核验</t>
        </is>
      </c>
      <c r="G19" s="3" t="inlineStr">
        <is>
          <t>待核验</t>
        </is>
      </c>
      <c r="H19" s="3" t="inlineStr">
        <is>
          <t>待核验</t>
        </is>
      </c>
      <c r="I19" s="3" t="inlineStr">
        <is>
          <t>待核验</t>
        </is>
      </c>
      <c r="J19" s="3" t="inlineStr">
        <is>
          <t>未取得原始数据</t>
        </is>
      </c>
      <c r="K19" s="3" t="inlineStr">
        <is>
          <t>候选查询节点；不是贸易排名；HS版本待确认</t>
        </is>
      </c>
    </row>
    <row r="20">
      <c r="A20" s="2" t="inlineStr">
        <is>
          <t>韩国</t>
        </is>
      </c>
      <c r="B20" s="2" t="n">
        <v>410</v>
      </c>
      <c r="C20" s="2" t="inlineStr">
        <is>
          <t>850760</t>
        </is>
      </c>
      <c r="D20" s="2" t="inlineStr">
        <is>
          <t>最新完整年度待确认</t>
        </is>
      </c>
      <c r="E20" s="2" t="inlineStr">
        <is>
          <t>进口</t>
        </is>
      </c>
      <c r="F20" s="2" t="inlineStr">
        <is>
          <t>待核验</t>
        </is>
      </c>
      <c r="G20" s="2" t="inlineStr">
        <is>
          <t>待核验</t>
        </is>
      </c>
      <c r="H20" s="2" t="inlineStr">
        <is>
          <t>待核验</t>
        </is>
      </c>
      <c r="I20" s="2" t="inlineStr">
        <is>
          <t>待核验</t>
        </is>
      </c>
      <c r="J20" s="2" t="inlineStr">
        <is>
          <t>未取得原始数据</t>
        </is>
      </c>
      <c r="K20" s="2" t="inlineStr">
        <is>
          <t>候选查询节点；不是贸易排名；HS版本待确认</t>
        </is>
      </c>
    </row>
    <row r="21">
      <c r="A21" s="3" t="inlineStr">
        <is>
          <t>韩国</t>
        </is>
      </c>
      <c r="B21" s="3" t="n">
        <v>410</v>
      </c>
      <c r="C21" s="3" t="inlineStr">
        <is>
          <t>850760</t>
        </is>
      </c>
      <c r="D21" s="3" t="inlineStr">
        <is>
          <t>最新完整年度待确认</t>
        </is>
      </c>
      <c r="E21" s="3" t="inlineStr">
        <is>
          <t>出口</t>
        </is>
      </c>
      <c r="F21" s="3" t="inlineStr">
        <is>
          <t>待核验</t>
        </is>
      </c>
      <c r="G21" s="3" t="inlineStr">
        <is>
          <t>待核验</t>
        </is>
      </c>
      <c r="H21" s="3" t="inlineStr">
        <is>
          <t>待核验</t>
        </is>
      </c>
      <c r="I21" s="3" t="inlineStr">
        <is>
          <t>待核验</t>
        </is>
      </c>
      <c r="J21" s="3" t="inlineStr">
        <is>
          <t>未取得原始数据</t>
        </is>
      </c>
      <c r="K21" s="3" t="inlineStr">
        <is>
          <t>候选查询节点；不是贸易排名；HS版本待确认</t>
        </is>
      </c>
    </row>
    <row r="22">
      <c r="A22" s="2" t="inlineStr">
        <is>
          <t>丹麦</t>
        </is>
      </c>
      <c r="B22" s="2" t="n">
        <v>208</v>
      </c>
      <c r="C22" s="2" t="inlineStr">
        <is>
          <t>847950</t>
        </is>
      </c>
      <c r="D22" s="2" t="inlineStr">
        <is>
          <t>最新完整年度待确认</t>
        </is>
      </c>
      <c r="E22" s="2" t="inlineStr">
        <is>
          <t>进口</t>
        </is>
      </c>
      <c r="F22" s="2" t="inlineStr">
        <is>
          <t>待核验</t>
        </is>
      </c>
      <c r="G22" s="2" t="inlineStr">
        <is>
          <t>待核验</t>
        </is>
      </c>
      <c r="H22" s="2" t="inlineStr">
        <is>
          <t>待核验</t>
        </is>
      </c>
      <c r="I22" s="2" t="inlineStr">
        <is>
          <t>待核验</t>
        </is>
      </c>
      <c r="J22" s="2" t="inlineStr">
        <is>
          <t>未取得原始数据</t>
        </is>
      </c>
      <c r="K22" s="2" t="inlineStr">
        <is>
          <t>候选查询节点；不是贸易排名；HS版本待确认</t>
        </is>
      </c>
    </row>
    <row r="23">
      <c r="A23" s="3" t="inlineStr">
        <is>
          <t>丹麦</t>
        </is>
      </c>
      <c r="B23" s="3" t="n">
        <v>208</v>
      </c>
      <c r="C23" s="3" t="inlineStr">
        <is>
          <t>847950</t>
        </is>
      </c>
      <c r="D23" s="3" t="inlineStr">
        <is>
          <t>最新完整年度待确认</t>
        </is>
      </c>
      <c r="E23" s="3" t="inlineStr">
        <is>
          <t>出口</t>
        </is>
      </c>
      <c r="F23" s="3" t="inlineStr">
        <is>
          <t>待核验</t>
        </is>
      </c>
      <c r="G23" s="3" t="inlineStr">
        <is>
          <t>待核验</t>
        </is>
      </c>
      <c r="H23" s="3" t="inlineStr">
        <is>
          <t>待核验</t>
        </is>
      </c>
      <c r="I23" s="3" t="inlineStr">
        <is>
          <t>待核验</t>
        </is>
      </c>
      <c r="J23" s="3" t="inlineStr">
        <is>
          <t>未取得原始数据</t>
        </is>
      </c>
      <c r="K23" s="3" t="inlineStr">
        <is>
          <t>候选查询节点；不是贸易排名；HS版本待确认</t>
        </is>
      </c>
    </row>
    <row r="24">
      <c r="A24" s="2" t="inlineStr">
        <is>
          <t>丹麦</t>
        </is>
      </c>
      <c r="B24" s="2" t="n">
        <v>208</v>
      </c>
      <c r="C24" s="2" t="inlineStr">
        <is>
          <t>850760</t>
        </is>
      </c>
      <c r="D24" s="2" t="inlineStr">
        <is>
          <t>最新完整年度待确认</t>
        </is>
      </c>
      <c r="E24" s="2" t="inlineStr">
        <is>
          <t>进口</t>
        </is>
      </c>
      <c r="F24" s="2" t="inlineStr">
        <is>
          <t>待核验</t>
        </is>
      </c>
      <c r="G24" s="2" t="inlineStr">
        <is>
          <t>待核验</t>
        </is>
      </c>
      <c r="H24" s="2" t="inlineStr">
        <is>
          <t>待核验</t>
        </is>
      </c>
      <c r="I24" s="2" t="inlineStr">
        <is>
          <t>待核验</t>
        </is>
      </c>
      <c r="J24" s="2" t="inlineStr">
        <is>
          <t>未取得原始数据</t>
        </is>
      </c>
      <c r="K24" s="2" t="inlineStr">
        <is>
          <t>候选查询节点；不是贸易排名；HS版本待确认</t>
        </is>
      </c>
    </row>
    <row r="25">
      <c r="A25" s="3" t="inlineStr">
        <is>
          <t>丹麦</t>
        </is>
      </c>
      <c r="B25" s="3" t="n">
        <v>208</v>
      </c>
      <c r="C25" s="3" t="inlineStr">
        <is>
          <t>850760</t>
        </is>
      </c>
      <c r="D25" s="3" t="inlineStr">
        <is>
          <t>最新完整年度待确认</t>
        </is>
      </c>
      <c r="E25" s="3" t="inlineStr">
        <is>
          <t>出口</t>
        </is>
      </c>
      <c r="F25" s="3" t="inlineStr">
        <is>
          <t>待核验</t>
        </is>
      </c>
      <c r="G25" s="3" t="inlineStr">
        <is>
          <t>待核验</t>
        </is>
      </c>
      <c r="H25" s="3" t="inlineStr">
        <is>
          <t>待核验</t>
        </is>
      </c>
      <c r="I25" s="3" t="inlineStr">
        <is>
          <t>待核验</t>
        </is>
      </c>
      <c r="J25" s="3" t="inlineStr">
        <is>
          <t>未取得原始数据</t>
        </is>
      </c>
      <c r="K25" s="3" t="inlineStr">
        <is>
          <t>候选查询节点；不是贸易排名；HS版本待确认</t>
        </is>
      </c>
    </row>
    <row r="26">
      <c r="A26" s="2" t="inlineStr">
        <is>
          <t>瑞士</t>
        </is>
      </c>
      <c r="B26" s="2" t="n">
        <v>757</v>
      </c>
      <c r="C26" s="2" t="inlineStr">
        <is>
          <t>847950</t>
        </is>
      </c>
      <c r="D26" s="2" t="inlineStr">
        <is>
          <t>最新完整年度待确认</t>
        </is>
      </c>
      <c r="E26" s="2" t="inlineStr">
        <is>
          <t>进口</t>
        </is>
      </c>
      <c r="F26" s="2" t="inlineStr">
        <is>
          <t>待核验</t>
        </is>
      </c>
      <c r="G26" s="2" t="inlineStr">
        <is>
          <t>待核验</t>
        </is>
      </c>
      <c r="H26" s="2" t="inlineStr">
        <is>
          <t>待核验</t>
        </is>
      </c>
      <c r="I26" s="2" t="inlineStr">
        <is>
          <t>待核验</t>
        </is>
      </c>
      <c r="J26" s="2" t="inlineStr">
        <is>
          <t>未取得原始数据</t>
        </is>
      </c>
      <c r="K26" s="2" t="inlineStr">
        <is>
          <t>候选查询节点；不是贸易排名；HS版本待确认</t>
        </is>
      </c>
    </row>
    <row r="27">
      <c r="A27" s="3" t="inlineStr">
        <is>
          <t>瑞士</t>
        </is>
      </c>
      <c r="B27" s="3" t="n">
        <v>757</v>
      </c>
      <c r="C27" s="3" t="inlineStr">
        <is>
          <t>847950</t>
        </is>
      </c>
      <c r="D27" s="3" t="inlineStr">
        <is>
          <t>最新完整年度待确认</t>
        </is>
      </c>
      <c r="E27" s="3" t="inlineStr">
        <is>
          <t>出口</t>
        </is>
      </c>
      <c r="F27" s="3" t="inlineStr">
        <is>
          <t>待核验</t>
        </is>
      </c>
      <c r="G27" s="3" t="inlineStr">
        <is>
          <t>待核验</t>
        </is>
      </c>
      <c r="H27" s="3" t="inlineStr">
        <is>
          <t>待核验</t>
        </is>
      </c>
      <c r="I27" s="3" t="inlineStr">
        <is>
          <t>待核验</t>
        </is>
      </c>
      <c r="J27" s="3" t="inlineStr">
        <is>
          <t>未取得原始数据</t>
        </is>
      </c>
      <c r="K27" s="3" t="inlineStr">
        <is>
          <t>候选查询节点；不是贸易排名；HS版本待确认</t>
        </is>
      </c>
    </row>
    <row r="28">
      <c r="A28" s="2" t="inlineStr">
        <is>
          <t>瑞士</t>
        </is>
      </c>
      <c r="B28" s="2" t="n">
        <v>757</v>
      </c>
      <c r="C28" s="2" t="inlineStr">
        <is>
          <t>850760</t>
        </is>
      </c>
      <c r="D28" s="2" t="inlineStr">
        <is>
          <t>最新完整年度待确认</t>
        </is>
      </c>
      <c r="E28" s="2" t="inlineStr">
        <is>
          <t>进口</t>
        </is>
      </c>
      <c r="F28" s="2" t="inlineStr">
        <is>
          <t>待核验</t>
        </is>
      </c>
      <c r="G28" s="2" t="inlineStr">
        <is>
          <t>待核验</t>
        </is>
      </c>
      <c r="H28" s="2" t="inlineStr">
        <is>
          <t>待核验</t>
        </is>
      </c>
      <c r="I28" s="2" t="inlineStr">
        <is>
          <t>待核验</t>
        </is>
      </c>
      <c r="J28" s="2" t="inlineStr">
        <is>
          <t>未取得原始数据</t>
        </is>
      </c>
      <c r="K28" s="2" t="inlineStr">
        <is>
          <t>候选查询节点；不是贸易排名；HS版本待确认</t>
        </is>
      </c>
    </row>
    <row r="29">
      <c r="A29" s="3" t="inlineStr">
        <is>
          <t>瑞士</t>
        </is>
      </c>
      <c r="B29" s="3" t="n">
        <v>757</v>
      </c>
      <c r="C29" s="3" t="inlineStr">
        <is>
          <t>850760</t>
        </is>
      </c>
      <c r="D29" s="3" t="inlineStr">
        <is>
          <t>最新完整年度待确认</t>
        </is>
      </c>
      <c r="E29" s="3" t="inlineStr">
        <is>
          <t>出口</t>
        </is>
      </c>
      <c r="F29" s="3" t="inlineStr">
        <is>
          <t>待核验</t>
        </is>
      </c>
      <c r="G29" s="3" t="inlineStr">
        <is>
          <t>待核验</t>
        </is>
      </c>
      <c r="H29" s="3" t="inlineStr">
        <is>
          <t>待核验</t>
        </is>
      </c>
      <c r="I29" s="3" t="inlineStr">
        <is>
          <t>待核验</t>
        </is>
      </c>
      <c r="J29" s="3" t="inlineStr">
        <is>
          <t>未取得原始数据</t>
        </is>
      </c>
      <c r="K29" s="3" t="inlineStr">
        <is>
          <t>候选查询节点；不是贸易排名；HS版本待确认</t>
        </is>
      </c>
    </row>
    <row r="30">
      <c r="A30" s="2" t="inlineStr">
        <is>
          <t>英国</t>
        </is>
      </c>
      <c r="B30" s="2" t="n">
        <v>826</v>
      </c>
      <c r="C30" s="2" t="inlineStr">
        <is>
          <t>847950</t>
        </is>
      </c>
      <c r="D30" s="2" t="inlineStr">
        <is>
          <t>最新完整年度待确认</t>
        </is>
      </c>
      <c r="E30" s="2" t="inlineStr">
        <is>
          <t>进口</t>
        </is>
      </c>
      <c r="F30" s="2" t="inlineStr">
        <is>
          <t>待核验</t>
        </is>
      </c>
      <c r="G30" s="2" t="inlineStr">
        <is>
          <t>待核验</t>
        </is>
      </c>
      <c r="H30" s="2" t="inlineStr">
        <is>
          <t>待核验</t>
        </is>
      </c>
      <c r="I30" s="2" t="inlineStr">
        <is>
          <t>待核验</t>
        </is>
      </c>
      <c r="J30" s="2" t="inlineStr">
        <is>
          <t>未取得原始数据</t>
        </is>
      </c>
      <c r="K30" s="2" t="inlineStr">
        <is>
          <t>候选查询节点；不是贸易排名；HS版本待确认</t>
        </is>
      </c>
    </row>
    <row r="31">
      <c r="A31" s="3" t="inlineStr">
        <is>
          <t>英国</t>
        </is>
      </c>
      <c r="B31" s="3" t="n">
        <v>826</v>
      </c>
      <c r="C31" s="3" t="inlineStr">
        <is>
          <t>847950</t>
        </is>
      </c>
      <c r="D31" s="3" t="inlineStr">
        <is>
          <t>最新完整年度待确认</t>
        </is>
      </c>
      <c r="E31" s="3" t="inlineStr">
        <is>
          <t>出口</t>
        </is>
      </c>
      <c r="F31" s="3" t="inlineStr">
        <is>
          <t>待核验</t>
        </is>
      </c>
      <c r="G31" s="3" t="inlineStr">
        <is>
          <t>待核验</t>
        </is>
      </c>
      <c r="H31" s="3" t="inlineStr">
        <is>
          <t>待核验</t>
        </is>
      </c>
      <c r="I31" s="3" t="inlineStr">
        <is>
          <t>待核验</t>
        </is>
      </c>
      <c r="J31" s="3" t="inlineStr">
        <is>
          <t>未取得原始数据</t>
        </is>
      </c>
      <c r="K31" s="3" t="inlineStr">
        <is>
          <t>候选查询节点；不是贸易排名；HS版本待确认</t>
        </is>
      </c>
    </row>
    <row r="32">
      <c r="A32" s="2" t="inlineStr">
        <is>
          <t>英国</t>
        </is>
      </c>
      <c r="B32" s="2" t="n">
        <v>826</v>
      </c>
      <c r="C32" s="2" t="inlineStr">
        <is>
          <t>850760</t>
        </is>
      </c>
      <c r="D32" s="2" t="inlineStr">
        <is>
          <t>最新完整年度待确认</t>
        </is>
      </c>
      <c r="E32" s="2" t="inlineStr">
        <is>
          <t>进口</t>
        </is>
      </c>
      <c r="F32" s="2" t="inlineStr">
        <is>
          <t>待核验</t>
        </is>
      </c>
      <c r="G32" s="2" t="inlineStr">
        <is>
          <t>待核验</t>
        </is>
      </c>
      <c r="H32" s="2" t="inlineStr">
        <is>
          <t>待核验</t>
        </is>
      </c>
      <c r="I32" s="2" t="inlineStr">
        <is>
          <t>待核验</t>
        </is>
      </c>
      <c r="J32" s="2" t="inlineStr">
        <is>
          <t>未取得原始数据</t>
        </is>
      </c>
      <c r="K32" s="2" t="inlineStr">
        <is>
          <t>候选查询节点；不是贸易排名；HS版本待确认</t>
        </is>
      </c>
    </row>
    <row r="33">
      <c r="A33" s="3" t="inlineStr">
        <is>
          <t>英国</t>
        </is>
      </c>
      <c r="B33" s="3" t="n">
        <v>826</v>
      </c>
      <c r="C33" s="3" t="inlineStr">
        <is>
          <t>850760</t>
        </is>
      </c>
      <c r="D33" s="3" t="inlineStr">
        <is>
          <t>最新完整年度待确认</t>
        </is>
      </c>
      <c r="E33" s="3" t="inlineStr">
        <is>
          <t>出口</t>
        </is>
      </c>
      <c r="F33" s="3" t="inlineStr">
        <is>
          <t>待核验</t>
        </is>
      </c>
      <c r="G33" s="3" t="inlineStr">
        <is>
          <t>待核验</t>
        </is>
      </c>
      <c r="H33" s="3" t="inlineStr">
        <is>
          <t>待核验</t>
        </is>
      </c>
      <c r="I33" s="3" t="inlineStr">
        <is>
          <t>待核验</t>
        </is>
      </c>
      <c r="J33" s="3" t="inlineStr">
        <is>
          <t>未取得原始数据</t>
        </is>
      </c>
      <c r="K33" s="3" t="inlineStr">
        <is>
          <t>候选查询节点；不是贸易排名；HS版本待确认</t>
        </is>
      </c>
    </row>
    <row r="34">
      <c r="A34" s="2" t="inlineStr">
        <is>
          <t>新加坡</t>
        </is>
      </c>
      <c r="B34" s="2" t="n">
        <v>702</v>
      </c>
      <c r="C34" s="2" t="inlineStr">
        <is>
          <t>847950</t>
        </is>
      </c>
      <c r="D34" s="2" t="inlineStr">
        <is>
          <t>最新完整年度待确认</t>
        </is>
      </c>
      <c r="E34" s="2" t="inlineStr">
        <is>
          <t>进口</t>
        </is>
      </c>
      <c r="F34" s="2" t="inlineStr">
        <is>
          <t>待核验</t>
        </is>
      </c>
      <c r="G34" s="2" t="inlineStr">
        <is>
          <t>待核验</t>
        </is>
      </c>
      <c r="H34" s="2" t="inlineStr">
        <is>
          <t>待核验</t>
        </is>
      </c>
      <c r="I34" s="2" t="inlineStr">
        <is>
          <t>待核验</t>
        </is>
      </c>
      <c r="J34" s="2" t="inlineStr">
        <is>
          <t>未取得原始数据</t>
        </is>
      </c>
      <c r="K34" s="2" t="inlineStr">
        <is>
          <t>候选查询节点；不是贸易排名；HS版本待确认</t>
        </is>
      </c>
    </row>
    <row r="35">
      <c r="A35" s="3" t="inlineStr">
        <is>
          <t>新加坡</t>
        </is>
      </c>
      <c r="B35" s="3" t="n">
        <v>702</v>
      </c>
      <c r="C35" s="3" t="inlineStr">
        <is>
          <t>847950</t>
        </is>
      </c>
      <c r="D35" s="3" t="inlineStr">
        <is>
          <t>最新完整年度待确认</t>
        </is>
      </c>
      <c r="E35" s="3" t="inlineStr">
        <is>
          <t>出口</t>
        </is>
      </c>
      <c r="F35" s="3" t="inlineStr">
        <is>
          <t>待核验</t>
        </is>
      </c>
      <c r="G35" s="3" t="inlineStr">
        <is>
          <t>待核验</t>
        </is>
      </c>
      <c r="H35" s="3" t="inlineStr">
        <is>
          <t>待核验</t>
        </is>
      </c>
      <c r="I35" s="3" t="inlineStr">
        <is>
          <t>待核验</t>
        </is>
      </c>
      <c r="J35" s="3" t="inlineStr">
        <is>
          <t>未取得原始数据</t>
        </is>
      </c>
      <c r="K35" s="3" t="inlineStr">
        <is>
          <t>候选查询节点；不是贸易排名；HS版本待确认</t>
        </is>
      </c>
    </row>
    <row r="36">
      <c r="A36" s="2" t="inlineStr">
        <is>
          <t>新加坡</t>
        </is>
      </c>
      <c r="B36" s="2" t="n">
        <v>702</v>
      </c>
      <c r="C36" s="2" t="inlineStr">
        <is>
          <t>850760</t>
        </is>
      </c>
      <c r="D36" s="2" t="inlineStr">
        <is>
          <t>最新完整年度待确认</t>
        </is>
      </c>
      <c r="E36" s="2" t="inlineStr">
        <is>
          <t>进口</t>
        </is>
      </c>
      <c r="F36" s="2" t="inlineStr">
        <is>
          <t>待核验</t>
        </is>
      </c>
      <c r="G36" s="2" t="inlineStr">
        <is>
          <t>待核验</t>
        </is>
      </c>
      <c r="H36" s="2" t="inlineStr">
        <is>
          <t>待核验</t>
        </is>
      </c>
      <c r="I36" s="2" t="inlineStr">
        <is>
          <t>待核验</t>
        </is>
      </c>
      <c r="J36" s="2" t="inlineStr">
        <is>
          <t>未取得原始数据</t>
        </is>
      </c>
      <c r="K36" s="2" t="inlineStr">
        <is>
          <t>候选查询节点；不是贸易排名；HS版本待确认</t>
        </is>
      </c>
    </row>
    <row r="37">
      <c r="A37" s="3" t="inlineStr">
        <is>
          <t>新加坡</t>
        </is>
      </c>
      <c r="B37" s="3" t="n">
        <v>702</v>
      </c>
      <c r="C37" s="3" t="inlineStr">
        <is>
          <t>850760</t>
        </is>
      </c>
      <c r="D37" s="3" t="inlineStr">
        <is>
          <t>最新完整年度待确认</t>
        </is>
      </c>
      <c r="E37" s="3" t="inlineStr">
        <is>
          <t>出口</t>
        </is>
      </c>
      <c r="F37" s="3" t="inlineStr">
        <is>
          <t>待核验</t>
        </is>
      </c>
      <c r="G37" s="3" t="inlineStr">
        <is>
          <t>待核验</t>
        </is>
      </c>
      <c r="H37" s="3" t="inlineStr">
        <is>
          <t>待核验</t>
        </is>
      </c>
      <c r="I37" s="3" t="inlineStr">
        <is>
          <t>待核验</t>
        </is>
      </c>
      <c r="J37" s="3" t="inlineStr">
        <is>
          <t>未取得原始数据</t>
        </is>
      </c>
      <c r="K37" s="3" t="inlineStr">
        <is>
          <t>候选查询节点；不是贸易排名；HS版本待确认</t>
        </is>
      </c>
    </row>
    <row r="38">
      <c r="A38" s="2" t="inlineStr">
        <is>
          <t>越南</t>
        </is>
      </c>
      <c r="B38" s="2" t="n">
        <v>704</v>
      </c>
      <c r="C38" s="2" t="inlineStr">
        <is>
          <t>847950</t>
        </is>
      </c>
      <c r="D38" s="2" t="inlineStr">
        <is>
          <t>最新完整年度待确认</t>
        </is>
      </c>
      <c r="E38" s="2" t="inlineStr">
        <is>
          <t>进口</t>
        </is>
      </c>
      <c r="F38" s="2" t="inlineStr">
        <is>
          <t>待核验</t>
        </is>
      </c>
      <c r="G38" s="2" t="inlineStr">
        <is>
          <t>待核验</t>
        </is>
      </c>
      <c r="H38" s="2" t="inlineStr">
        <is>
          <t>待核验</t>
        </is>
      </c>
      <c r="I38" s="2" t="inlineStr">
        <is>
          <t>待核验</t>
        </is>
      </c>
      <c r="J38" s="2" t="inlineStr">
        <is>
          <t>未取得原始数据</t>
        </is>
      </c>
      <c r="K38" s="2" t="inlineStr">
        <is>
          <t>候选查询节点；不是贸易排名；HS版本待确认</t>
        </is>
      </c>
    </row>
    <row r="39">
      <c r="A39" s="3" t="inlineStr">
        <is>
          <t>越南</t>
        </is>
      </c>
      <c r="B39" s="3" t="n">
        <v>704</v>
      </c>
      <c r="C39" s="3" t="inlineStr">
        <is>
          <t>847950</t>
        </is>
      </c>
      <c r="D39" s="3" t="inlineStr">
        <is>
          <t>最新完整年度待确认</t>
        </is>
      </c>
      <c r="E39" s="3" t="inlineStr">
        <is>
          <t>出口</t>
        </is>
      </c>
      <c r="F39" s="3" t="inlineStr">
        <is>
          <t>待核验</t>
        </is>
      </c>
      <c r="G39" s="3" t="inlineStr">
        <is>
          <t>待核验</t>
        </is>
      </c>
      <c r="H39" s="3" t="inlineStr">
        <is>
          <t>待核验</t>
        </is>
      </c>
      <c r="I39" s="3" t="inlineStr">
        <is>
          <t>待核验</t>
        </is>
      </c>
      <c r="J39" s="3" t="inlineStr">
        <is>
          <t>未取得原始数据</t>
        </is>
      </c>
      <c r="K39" s="3" t="inlineStr">
        <is>
          <t>候选查询节点；不是贸易排名；HS版本待确认</t>
        </is>
      </c>
    </row>
    <row r="40">
      <c r="A40" s="2" t="inlineStr">
        <is>
          <t>越南</t>
        </is>
      </c>
      <c r="B40" s="2" t="n">
        <v>704</v>
      </c>
      <c r="C40" s="2" t="inlineStr">
        <is>
          <t>850760</t>
        </is>
      </c>
      <c r="D40" s="2" t="inlineStr">
        <is>
          <t>最新完整年度待确认</t>
        </is>
      </c>
      <c r="E40" s="2" t="inlineStr">
        <is>
          <t>进口</t>
        </is>
      </c>
      <c r="F40" s="2" t="inlineStr">
        <is>
          <t>待核验</t>
        </is>
      </c>
      <c r="G40" s="2" t="inlineStr">
        <is>
          <t>待核验</t>
        </is>
      </c>
      <c r="H40" s="2" t="inlineStr">
        <is>
          <t>待核验</t>
        </is>
      </c>
      <c r="I40" s="2" t="inlineStr">
        <is>
          <t>待核验</t>
        </is>
      </c>
      <c r="J40" s="2" t="inlineStr">
        <is>
          <t>未取得原始数据</t>
        </is>
      </c>
      <c r="K40" s="2" t="inlineStr">
        <is>
          <t>候选查询节点；不是贸易排名；HS版本待确认</t>
        </is>
      </c>
    </row>
    <row r="41">
      <c r="A41" s="3" t="inlineStr">
        <is>
          <t>越南</t>
        </is>
      </c>
      <c r="B41" s="3" t="n">
        <v>704</v>
      </c>
      <c r="C41" s="3" t="inlineStr">
        <is>
          <t>850760</t>
        </is>
      </c>
      <c r="D41" s="3" t="inlineStr">
        <is>
          <t>最新完整年度待确认</t>
        </is>
      </c>
      <c r="E41" s="3" t="inlineStr">
        <is>
          <t>出口</t>
        </is>
      </c>
      <c r="F41" s="3" t="inlineStr">
        <is>
          <t>待核验</t>
        </is>
      </c>
      <c r="G41" s="3" t="inlineStr">
        <is>
          <t>待核验</t>
        </is>
      </c>
      <c r="H41" s="3" t="inlineStr">
        <is>
          <t>待核验</t>
        </is>
      </c>
      <c r="I41" s="3" t="inlineStr">
        <is>
          <t>待核验</t>
        </is>
      </c>
      <c r="J41" s="3" t="inlineStr">
        <is>
          <t>未取得原始数据</t>
        </is>
      </c>
      <c r="K41" s="3" t="inlineStr">
        <is>
          <t>候选查询节点；不是贸易排名；HS版本待确认</t>
        </is>
      </c>
    </row>
    <row r="42">
      <c r="A42" s="2" t="inlineStr">
        <is>
          <t>泰国</t>
        </is>
      </c>
      <c r="B42" s="2" t="n">
        <v>764</v>
      </c>
      <c r="C42" s="2" t="inlineStr">
        <is>
          <t>847950</t>
        </is>
      </c>
      <c r="D42" s="2" t="inlineStr">
        <is>
          <t>最新完整年度待确认</t>
        </is>
      </c>
      <c r="E42" s="2" t="inlineStr">
        <is>
          <t>进口</t>
        </is>
      </c>
      <c r="F42" s="2" t="inlineStr">
        <is>
          <t>待核验</t>
        </is>
      </c>
      <c r="G42" s="2" t="inlineStr">
        <is>
          <t>待核验</t>
        </is>
      </c>
      <c r="H42" s="2" t="inlineStr">
        <is>
          <t>待核验</t>
        </is>
      </c>
      <c r="I42" s="2" t="inlineStr">
        <is>
          <t>待核验</t>
        </is>
      </c>
      <c r="J42" s="2" t="inlineStr">
        <is>
          <t>未取得原始数据</t>
        </is>
      </c>
      <c r="K42" s="2" t="inlineStr">
        <is>
          <t>候选查询节点；不是贸易排名；HS版本待确认</t>
        </is>
      </c>
    </row>
    <row r="43">
      <c r="A43" s="3" t="inlineStr">
        <is>
          <t>泰国</t>
        </is>
      </c>
      <c r="B43" s="3" t="n">
        <v>764</v>
      </c>
      <c r="C43" s="3" t="inlineStr">
        <is>
          <t>847950</t>
        </is>
      </c>
      <c r="D43" s="3" t="inlineStr">
        <is>
          <t>最新完整年度待确认</t>
        </is>
      </c>
      <c r="E43" s="3" t="inlineStr">
        <is>
          <t>出口</t>
        </is>
      </c>
      <c r="F43" s="3" t="inlineStr">
        <is>
          <t>待核验</t>
        </is>
      </c>
      <c r="G43" s="3" t="inlineStr">
        <is>
          <t>待核验</t>
        </is>
      </c>
      <c r="H43" s="3" t="inlineStr">
        <is>
          <t>待核验</t>
        </is>
      </c>
      <c r="I43" s="3" t="inlineStr">
        <is>
          <t>待核验</t>
        </is>
      </c>
      <c r="J43" s="3" t="inlineStr">
        <is>
          <t>未取得原始数据</t>
        </is>
      </c>
      <c r="K43" s="3" t="inlineStr">
        <is>
          <t>候选查询节点；不是贸易排名；HS版本待确认</t>
        </is>
      </c>
    </row>
    <row r="44">
      <c r="A44" s="2" t="inlineStr">
        <is>
          <t>泰国</t>
        </is>
      </c>
      <c r="B44" s="2" t="n">
        <v>764</v>
      </c>
      <c r="C44" s="2" t="inlineStr">
        <is>
          <t>850760</t>
        </is>
      </c>
      <c r="D44" s="2" t="inlineStr">
        <is>
          <t>最新完整年度待确认</t>
        </is>
      </c>
      <c r="E44" s="2" t="inlineStr">
        <is>
          <t>进口</t>
        </is>
      </c>
      <c r="F44" s="2" t="inlineStr">
        <is>
          <t>待核验</t>
        </is>
      </c>
      <c r="G44" s="2" t="inlineStr">
        <is>
          <t>待核验</t>
        </is>
      </c>
      <c r="H44" s="2" t="inlineStr">
        <is>
          <t>待核验</t>
        </is>
      </c>
      <c r="I44" s="2" t="inlineStr">
        <is>
          <t>待核验</t>
        </is>
      </c>
      <c r="J44" s="2" t="inlineStr">
        <is>
          <t>未取得原始数据</t>
        </is>
      </c>
      <c r="K44" s="2" t="inlineStr">
        <is>
          <t>候选查询节点；不是贸易排名；HS版本待确认</t>
        </is>
      </c>
    </row>
    <row r="45">
      <c r="A45" s="3" t="inlineStr">
        <is>
          <t>泰国</t>
        </is>
      </c>
      <c r="B45" s="3" t="n">
        <v>764</v>
      </c>
      <c r="C45" s="3" t="inlineStr">
        <is>
          <t>850760</t>
        </is>
      </c>
      <c r="D45" s="3" t="inlineStr">
        <is>
          <t>最新完整年度待确认</t>
        </is>
      </c>
      <c r="E45" s="3" t="inlineStr">
        <is>
          <t>出口</t>
        </is>
      </c>
      <c r="F45" s="3" t="inlineStr">
        <is>
          <t>待核验</t>
        </is>
      </c>
      <c r="G45" s="3" t="inlineStr">
        <is>
          <t>待核验</t>
        </is>
      </c>
      <c r="H45" s="3" t="inlineStr">
        <is>
          <t>待核验</t>
        </is>
      </c>
      <c r="I45" s="3" t="inlineStr">
        <is>
          <t>待核验</t>
        </is>
      </c>
      <c r="J45" s="3" t="inlineStr">
        <is>
          <t>未取得原始数据</t>
        </is>
      </c>
      <c r="K45" s="3" t="inlineStr">
        <is>
          <t>候选查询节点；不是贸易排名；HS版本待确认</t>
        </is>
      </c>
    </row>
    <row r="46">
      <c r="A46" s="2" t="inlineStr">
        <is>
          <t>马来西亚</t>
        </is>
      </c>
      <c r="B46" s="2" t="n">
        <v>458</v>
      </c>
      <c r="C46" s="2" t="inlineStr">
        <is>
          <t>847950</t>
        </is>
      </c>
      <c r="D46" s="2" t="inlineStr">
        <is>
          <t>最新完整年度待确认</t>
        </is>
      </c>
      <c r="E46" s="2" t="inlineStr">
        <is>
          <t>进口</t>
        </is>
      </c>
      <c r="F46" s="2" t="inlineStr">
        <is>
          <t>待核验</t>
        </is>
      </c>
      <c r="G46" s="2" t="inlineStr">
        <is>
          <t>待核验</t>
        </is>
      </c>
      <c r="H46" s="2" t="inlineStr">
        <is>
          <t>待核验</t>
        </is>
      </c>
      <c r="I46" s="2" t="inlineStr">
        <is>
          <t>待核验</t>
        </is>
      </c>
      <c r="J46" s="2" t="inlineStr">
        <is>
          <t>未取得原始数据</t>
        </is>
      </c>
      <c r="K46" s="2" t="inlineStr">
        <is>
          <t>候选查询节点；不是贸易排名；HS版本待确认</t>
        </is>
      </c>
    </row>
    <row r="47">
      <c r="A47" s="3" t="inlineStr">
        <is>
          <t>马来西亚</t>
        </is>
      </c>
      <c r="B47" s="3" t="n">
        <v>458</v>
      </c>
      <c r="C47" s="3" t="inlineStr">
        <is>
          <t>847950</t>
        </is>
      </c>
      <c r="D47" s="3" t="inlineStr">
        <is>
          <t>最新完整年度待确认</t>
        </is>
      </c>
      <c r="E47" s="3" t="inlineStr">
        <is>
          <t>出口</t>
        </is>
      </c>
      <c r="F47" s="3" t="inlineStr">
        <is>
          <t>待核验</t>
        </is>
      </c>
      <c r="G47" s="3" t="inlineStr">
        <is>
          <t>待核验</t>
        </is>
      </c>
      <c r="H47" s="3" t="inlineStr">
        <is>
          <t>待核验</t>
        </is>
      </c>
      <c r="I47" s="3" t="inlineStr">
        <is>
          <t>待核验</t>
        </is>
      </c>
      <c r="J47" s="3" t="inlineStr">
        <is>
          <t>未取得原始数据</t>
        </is>
      </c>
      <c r="K47" s="3" t="inlineStr">
        <is>
          <t>候选查询节点；不是贸易排名；HS版本待确认</t>
        </is>
      </c>
    </row>
    <row r="48">
      <c r="A48" s="2" t="inlineStr">
        <is>
          <t>马来西亚</t>
        </is>
      </c>
      <c r="B48" s="2" t="n">
        <v>458</v>
      </c>
      <c r="C48" s="2" t="inlineStr">
        <is>
          <t>850760</t>
        </is>
      </c>
      <c r="D48" s="2" t="inlineStr">
        <is>
          <t>最新完整年度待确认</t>
        </is>
      </c>
      <c r="E48" s="2" t="inlineStr">
        <is>
          <t>进口</t>
        </is>
      </c>
      <c r="F48" s="2" t="inlineStr">
        <is>
          <t>待核验</t>
        </is>
      </c>
      <c r="G48" s="2" t="inlineStr">
        <is>
          <t>待核验</t>
        </is>
      </c>
      <c r="H48" s="2" t="inlineStr">
        <is>
          <t>待核验</t>
        </is>
      </c>
      <c r="I48" s="2" t="inlineStr">
        <is>
          <t>待核验</t>
        </is>
      </c>
      <c r="J48" s="2" t="inlineStr">
        <is>
          <t>未取得原始数据</t>
        </is>
      </c>
      <c r="K48" s="2" t="inlineStr">
        <is>
          <t>候选查询节点；不是贸易排名；HS版本待确认</t>
        </is>
      </c>
    </row>
    <row r="49">
      <c r="A49" s="3" t="inlineStr">
        <is>
          <t>马来西亚</t>
        </is>
      </c>
      <c r="B49" s="3" t="n">
        <v>458</v>
      </c>
      <c r="C49" s="3" t="inlineStr">
        <is>
          <t>850760</t>
        </is>
      </c>
      <c r="D49" s="3" t="inlineStr">
        <is>
          <t>最新完整年度待确认</t>
        </is>
      </c>
      <c r="E49" s="3" t="inlineStr">
        <is>
          <t>出口</t>
        </is>
      </c>
      <c r="F49" s="3" t="inlineStr">
        <is>
          <t>待核验</t>
        </is>
      </c>
      <c r="G49" s="3" t="inlineStr">
        <is>
          <t>待核验</t>
        </is>
      </c>
      <c r="H49" s="3" t="inlineStr">
        <is>
          <t>待核验</t>
        </is>
      </c>
      <c r="I49" s="3" t="inlineStr">
        <is>
          <t>待核验</t>
        </is>
      </c>
      <c r="J49" s="3" t="inlineStr">
        <is>
          <t>未取得原始数据</t>
        </is>
      </c>
      <c r="K49" s="3" t="inlineStr">
        <is>
          <t>候选查询节点；不是贸易排名；HS版本待确认</t>
        </is>
      </c>
    </row>
  </sheetData>
  <autoFilter ref="A1:K4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参数</t>
        </is>
      </c>
      <c r="B1" s="1" t="inlineStr">
        <is>
          <t>输入/公式</t>
        </is>
      </c>
      <c r="C1" s="1" t="inlineStr">
        <is>
          <t>标签/单位</t>
        </is>
      </c>
    </row>
    <row r="2">
      <c r="A2" s="2" t="inlineStr">
        <is>
          <t>客户年交付机器人</t>
        </is>
      </c>
      <c r="B2" s="2" t="n">
        <v>1000</v>
      </c>
      <c r="C2" s="2" t="inlineStr">
        <is>
          <t>人为假设；台</t>
        </is>
      </c>
    </row>
    <row r="3">
      <c r="A3" s="3" t="inlineStr">
        <is>
          <t>每台主包</t>
        </is>
      </c>
      <c r="B3" s="3" t="n">
        <v>1</v>
      </c>
      <c r="C3" s="3" t="inlineStr">
        <is>
          <t>人为假设；包/台</t>
        </is>
      </c>
    </row>
    <row r="4">
      <c r="A4" s="2" t="inlineStr">
        <is>
          <t>备包率</t>
        </is>
      </c>
      <c r="B4" s="4" t="n">
        <v>0.3</v>
      </c>
      <c r="C4" s="2" t="inlineStr">
        <is>
          <t>人为假设；比例</t>
        </is>
      </c>
    </row>
    <row r="5">
      <c r="A5" s="3" t="inlineStr">
        <is>
          <t>单包售价</t>
        </is>
      </c>
      <c r="B5" s="3" t="n">
        <v>400</v>
      </c>
      <c r="C5" s="3" t="inlineStr">
        <is>
          <t>人为假设；USD/包；不是报价</t>
        </is>
      </c>
    </row>
    <row r="6">
      <c r="A6" s="2" t="inlineStr">
        <is>
          <t>BPI份额</t>
        </is>
      </c>
      <c r="B6" s="4" t="n">
        <v>0.5</v>
      </c>
      <c r="C6" s="2" t="inlineStr">
        <is>
          <t>人为假设；比例</t>
        </is>
      </c>
    </row>
    <row r="7">
      <c r="A7" s="3" t="inlineStr">
        <is>
          <t>客户新增包数</t>
        </is>
      </c>
      <c r="B7" s="3">
        <f>B2*B3*(1+B4)</f>
        <v/>
      </c>
      <c r="C7" s="3" t="inlineStr">
        <is>
          <t>包；仅新机与随附备包</t>
        </is>
      </c>
    </row>
    <row r="8">
      <c r="A8" s="2" t="inlineStr">
        <is>
          <t>BPI项目收入</t>
        </is>
      </c>
      <c r="B8" s="5">
        <f>B7*B5*B6</f>
        <v/>
      </c>
      <c r="C8" s="2" t="inlineStr">
        <is>
          <t>USD；不含费用与替换；不是业绩预测</t>
        </is>
      </c>
    </row>
  </sheetData>
  <autoFilter ref="A1:C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参数</t>
        </is>
      </c>
      <c r="B1" s="1" t="inlineStr">
        <is>
          <t>输入/公式</t>
        </is>
      </c>
      <c r="C1" s="1" t="inlineStr">
        <is>
          <t>标签/单位</t>
        </is>
      </c>
    </row>
    <row r="2">
      <c r="A2" s="2" t="inlineStr">
        <is>
          <t>平均功率</t>
        </is>
      </c>
      <c r="B2" s="2" t="n">
        <v>500</v>
      </c>
      <c r="C2" s="2" t="inlineStr">
        <is>
          <t>人为假设；W</t>
        </is>
      </c>
    </row>
    <row r="3">
      <c r="A3" s="3" t="inlineStr">
        <is>
          <t>任务时间</t>
        </is>
      </c>
      <c r="B3" s="3" t="n">
        <v>2</v>
      </c>
      <c r="C3" s="3" t="inlineStr">
        <is>
          <t>人为假设；h</t>
        </is>
      </c>
    </row>
    <row r="4">
      <c r="A4" s="2" t="inlineStr">
        <is>
          <t>放电深度</t>
        </is>
      </c>
      <c r="B4" s="4" t="n">
        <v>0.8</v>
      </c>
      <c r="C4" s="2" t="inlineStr">
        <is>
          <t>人为假设；比例</t>
        </is>
      </c>
    </row>
    <row r="5">
      <c r="A5" s="3" t="inlineStr">
        <is>
          <t>供电效率</t>
        </is>
      </c>
      <c r="B5" s="6" t="n">
        <v>0.9</v>
      </c>
      <c r="C5" s="3" t="inlineStr">
        <is>
          <t>人为假设；比例</t>
        </is>
      </c>
    </row>
    <row r="6">
      <c r="A6" s="2" t="inlineStr">
        <is>
          <t>方案标称电压</t>
        </is>
      </c>
      <c r="B6" s="2" t="n">
        <v>51.2</v>
      </c>
      <c r="C6" s="2" t="inlineStr">
        <is>
          <t>人为假设；V</t>
        </is>
      </c>
    </row>
    <row r="7">
      <c r="A7" s="3" t="inlineStr">
        <is>
          <t>初步标称能量</t>
        </is>
      </c>
      <c r="B7" s="7">
        <f>B2*B3/(B4*B5)</f>
        <v/>
      </c>
      <c r="C7" s="3" t="inlineStr">
        <is>
          <t>Wh；未含低温、衰减与余量</t>
        </is>
      </c>
    </row>
    <row r="8">
      <c r="A8" s="2" t="inlineStr">
        <is>
          <t>对应容量</t>
        </is>
      </c>
      <c r="B8" s="8">
        <f>B7/B6</f>
        <v/>
      </c>
      <c r="C8" s="2" t="inlineStr">
        <is>
          <t>Ah；不是厂商产品参数</t>
        </is>
      </c>
    </row>
  </sheetData>
  <autoFilter ref="A1:C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30.4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账户</t>
        </is>
      </c>
      <c r="B1" s="1" t="inlineStr">
        <is>
          <t>国家</t>
        </is>
      </c>
      <c r="C1" s="1" t="inlineStr">
        <is>
          <t>形态</t>
        </is>
      </c>
      <c r="D1" s="1" t="inlineStr">
        <is>
          <t>角色</t>
        </is>
      </c>
      <c r="E1" s="1" t="inlineStr">
        <is>
          <t>证据链接</t>
        </is>
      </c>
      <c r="F1" s="1" t="inlineStr">
        <is>
          <t>实际付费需求25</t>
        </is>
      </c>
      <c r="G1" s="1" t="inlineStr">
        <is>
          <t>设计开放25</t>
        </is>
      </c>
      <c r="H1" s="1" t="inlineStr">
        <is>
          <t>技术匹配20</t>
        </is>
      </c>
      <c r="I1" s="1" t="inlineStr">
        <is>
          <t>采购可达15</t>
        </is>
      </c>
      <c r="J1" s="1" t="inlineStr">
        <is>
          <t>质量服务15</t>
        </is>
      </c>
      <c r="K1" s="1" t="inlineStr">
        <is>
          <t>总分</t>
        </is>
      </c>
      <c r="L1" s="1" t="inlineStr">
        <is>
          <t>真实交付证据</t>
        </is>
      </c>
      <c r="M1" s="1" t="inlineStr">
        <is>
          <t>采购主体</t>
        </is>
      </c>
      <c r="N1" s="1" t="inlineStr">
        <is>
          <t>NRE</t>
        </is>
      </c>
      <c r="O1" s="1" t="inlineStr">
        <is>
          <t>状态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>
        <f>IF(COUNTA(F2:J2)=5,SUM(F2:J2),"")</f>
        <v/>
      </c>
      <c r="L2" s="2" t="n"/>
      <c r="M2" s="2" t="n"/>
      <c r="N2" s="2" t="n"/>
      <c r="O2" s="2" t="inlineStr">
        <is>
          <t>未评估；无已确认需求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>
        <f>IF(COUNTA(F3:J3)=5,SUM(F3:J3),"")</f>
        <v/>
      </c>
      <c r="L3" s="3" t="n"/>
      <c r="M3" s="3" t="n"/>
      <c r="N3" s="3" t="n"/>
      <c r="O3" s="3" t="inlineStr">
        <is>
          <t>未评估；无已确认需求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>
        <f>IF(COUNTA(F4:J4)=5,SUM(F4:J4),"")</f>
        <v/>
      </c>
      <c r="L4" s="2" t="n"/>
      <c r="M4" s="2" t="n"/>
      <c r="N4" s="2" t="n"/>
      <c r="O4" s="2" t="inlineStr">
        <is>
          <t>未评估；无已确认需求</t>
        </is>
      </c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>
        <f>IF(COUNTA(F5:J5)=5,SUM(F5:J5),"")</f>
        <v/>
      </c>
      <c r="L5" s="3" t="n"/>
      <c r="M5" s="3" t="n"/>
      <c r="N5" s="3" t="n"/>
      <c r="O5" s="3" t="inlineStr">
        <is>
          <t>未评估；无已确认需求</t>
        </is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>
        <f>IF(COUNTA(F6:J6)=5,SUM(F6:J6),"")</f>
        <v/>
      </c>
      <c r="L6" s="2" t="n"/>
      <c r="M6" s="2" t="n"/>
      <c r="N6" s="2" t="n"/>
      <c r="O6" s="2" t="inlineStr">
        <is>
          <t>未评估；无已确认需求</t>
        </is>
      </c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>
        <f>IF(COUNTA(F7:J7)=5,SUM(F7:J7),"")</f>
        <v/>
      </c>
      <c r="L7" s="3" t="n"/>
      <c r="M7" s="3" t="n"/>
      <c r="N7" s="3" t="n"/>
      <c r="O7" s="3" t="inlineStr">
        <is>
          <t>未评估；无已确认需求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>
        <f>IF(COUNTA(F8:J8)=5,SUM(F8:J8),"")</f>
        <v/>
      </c>
      <c r="L8" s="2" t="n"/>
      <c r="M8" s="2" t="n"/>
      <c r="N8" s="2" t="n"/>
      <c r="O8" s="2" t="inlineStr">
        <is>
          <t>未评估；无已确认需求</t>
        </is>
      </c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>
        <f>IF(COUNTA(F9:J9)=5,SUM(F9:J9),"")</f>
        <v/>
      </c>
      <c r="L9" s="3" t="n"/>
      <c r="M9" s="3" t="n"/>
      <c r="N9" s="3" t="n"/>
      <c r="O9" s="3" t="inlineStr">
        <is>
          <t>未评估；无已确认需求</t>
        </is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>
        <f>IF(COUNTA(F10:J10)=5,SUM(F10:J10),"")</f>
        <v/>
      </c>
      <c r="L10" s="2" t="n"/>
      <c r="M10" s="2" t="n"/>
      <c r="N10" s="2" t="n"/>
      <c r="O10" s="2" t="inlineStr">
        <is>
          <t>未评估；无已确认需求</t>
        </is>
      </c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>
        <f>IF(COUNTA(F11:J11)=5,SUM(F11:J11),"")</f>
        <v/>
      </c>
      <c r="L11" s="3" t="n"/>
      <c r="M11" s="3" t="n"/>
      <c r="N11" s="3" t="n"/>
      <c r="O11" s="3" t="inlineStr">
        <is>
          <t>未评估；无已确认需求</t>
        </is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>
        <f>IF(COUNTA(F12:J12)=5,SUM(F12:J12),"")</f>
        <v/>
      </c>
      <c r="L12" s="2" t="n"/>
      <c r="M12" s="2" t="n"/>
      <c r="N12" s="2" t="n"/>
      <c r="O12" s="2" t="inlineStr">
        <is>
          <t>未评估；无已确认需求</t>
        </is>
      </c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>
        <f>IF(COUNTA(F13:J13)=5,SUM(F13:J13),"")</f>
        <v/>
      </c>
      <c r="L13" s="3" t="n"/>
      <c r="M13" s="3" t="n"/>
      <c r="N13" s="3" t="n"/>
      <c r="O13" s="3" t="inlineStr">
        <is>
          <t>未评估；无已确认需求</t>
        </is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>
        <f>IF(COUNTA(F14:J14)=5,SUM(F14:J14),"")</f>
        <v/>
      </c>
      <c r="L14" s="2" t="n"/>
      <c r="M14" s="2" t="n"/>
      <c r="N14" s="2" t="n"/>
      <c r="O14" s="2" t="inlineStr">
        <is>
          <t>未评估；无已确认需求</t>
        </is>
      </c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>
        <f>IF(COUNTA(F15:J15)=5,SUM(F15:J15),"")</f>
        <v/>
      </c>
      <c r="L15" s="3" t="n"/>
      <c r="M15" s="3" t="n"/>
      <c r="N15" s="3" t="n"/>
      <c r="O15" s="3" t="inlineStr">
        <is>
          <t>未评估；无已确认需求</t>
        </is>
      </c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>
        <f>IF(COUNTA(F16:J16)=5,SUM(F16:J16),"")</f>
        <v/>
      </c>
      <c r="L16" s="2" t="n"/>
      <c r="M16" s="2" t="n"/>
      <c r="N16" s="2" t="n"/>
      <c r="O16" s="2" t="inlineStr">
        <is>
          <t>未评估；无已确认需求</t>
        </is>
      </c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>
        <f>IF(COUNTA(F17:J17)=5,SUM(F17:J17),"")</f>
        <v/>
      </c>
      <c r="L17" s="3" t="n"/>
      <c r="M17" s="3" t="n"/>
      <c r="N17" s="3" t="n"/>
      <c r="O17" s="3" t="inlineStr">
        <is>
          <t>未评估；无已确认需求</t>
        </is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>
        <f>IF(COUNTA(F18:J18)=5,SUM(F18:J18),"")</f>
        <v/>
      </c>
      <c r="L18" s="2" t="n"/>
      <c r="M18" s="2" t="n"/>
      <c r="N18" s="2" t="n"/>
      <c r="O18" s="2" t="inlineStr">
        <is>
          <t>未评估；无已确认需求</t>
        </is>
      </c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>
        <f>IF(COUNTA(F19:J19)=5,SUM(F19:J19),"")</f>
        <v/>
      </c>
      <c r="L19" s="3" t="n"/>
      <c r="M19" s="3" t="n"/>
      <c r="N19" s="3" t="n"/>
      <c r="O19" s="3" t="inlineStr">
        <is>
          <t>未评估；无已确认需求</t>
        </is>
      </c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>
        <f>IF(COUNTA(F20:J20)=5,SUM(F20:J20),"")</f>
        <v/>
      </c>
      <c r="L20" s="2" t="n"/>
      <c r="M20" s="2" t="n"/>
      <c r="N20" s="2" t="n"/>
      <c r="O20" s="2" t="inlineStr">
        <is>
          <t>未评估；无已确认需求</t>
        </is>
      </c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>
        <f>IF(COUNTA(F21:J21)=5,SUM(F21:J21),"")</f>
        <v/>
      </c>
      <c r="L21" s="3" t="n"/>
      <c r="M21" s="3" t="n"/>
      <c r="N21" s="3" t="n"/>
      <c r="O21" s="3" t="inlineStr">
        <is>
          <t>未评估；无已确认需求</t>
        </is>
      </c>
    </row>
  </sheetData>
  <autoFilter ref="A1:O2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8" customWidth="1" min="4" max="4"/>
  </cols>
  <sheetData>
    <row r="1">
      <c r="A1" s="1" t="inlineStr">
        <is>
          <t>阶段</t>
        </is>
      </c>
      <c r="B1" s="1" t="inlineStr">
        <is>
          <t>建议KPI（不是事实）</t>
        </is>
      </c>
      <c r="C1" s="1" t="inlineStr">
        <is>
          <t>负责人</t>
        </is>
      </c>
      <c r="D1" s="1" t="inlineStr">
        <is>
          <t>阶段关口</t>
        </is>
      </c>
    </row>
    <row r="2">
      <c r="A2" s="2" t="inlineStr">
        <is>
          <t>0–30天</t>
        </is>
      </c>
      <c r="B2" s="2" t="inlineStr">
        <is>
          <t>20候选账户；8访谈；3完整需求；证据与能力差距表</t>
        </is>
      </c>
      <c r="C2" s="2" t="inlineStr">
        <is>
          <t>海外市场/研发/质量</t>
        </is>
      </c>
      <c r="D2" s="2" t="inlineStr">
        <is>
          <t>可访问设计权、真实工况与采购需求</t>
        </is>
      </c>
    </row>
    <row r="3">
      <c r="A3" s="3" t="inlineStr">
        <is>
          <t>31–90天</t>
        </is>
      </c>
      <c r="B3" s="3" t="inlineStr">
        <is>
          <t>2候选项目；争取1付费协议；样机测试</t>
        </is>
      </c>
      <c r="C3" s="3" t="inlineStr">
        <is>
          <t>研发/质量/供应链/销售</t>
        </is>
      </c>
      <c r="D3" s="3" t="inlineStr">
        <is>
          <t>达到双方约定技术要求与经济性</t>
        </is>
      </c>
    </row>
    <row r="4">
      <c r="A4" s="2" t="inlineStr">
        <is>
          <t>91–180天</t>
        </is>
      </c>
      <c r="B4" s="2" t="inlineStr">
        <is>
          <t>至少1整机验证或可执行整改；确认订单性质</t>
        </is>
      </c>
      <c r="C4" s="2" t="inlineStr">
        <is>
          <t>项目/生产/质量/销售</t>
        </is>
      </c>
      <c r="D4" s="2" t="inlineStr">
        <is>
          <t>通过实际验收和商业条件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2026-10-13T03:31:27Z</dcterms:created>
  <dcterms:modified xmlns:dcterms="http://purl.org/dc/terms/" xmlns:xsi="http://www.w3.org/2001/XMLSchema-instance" xsi:type="dcterms:W3CDTF">2026-10-13T03:31:27Z</dcterms:modified>
</cp:coreProperties>
</file>